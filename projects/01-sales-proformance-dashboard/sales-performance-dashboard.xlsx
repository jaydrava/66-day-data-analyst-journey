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jayde\66-day-data-analyst-journey\projects\01-sales-proformance-dashboard\"/>
    </mc:Choice>
  </mc:AlternateContent>
  <xr:revisionPtr revIDLastSave="0" documentId="13_ncr:1_{62CE1E64-3E76-44F9-A0A1-F8BA93D31A3D}" xr6:coauthVersionLast="47" xr6:coauthVersionMax="47" xr10:uidLastSave="{00000000-0000-0000-0000-000000000000}"/>
  <bookViews>
    <workbookView xWindow="-108" yWindow="-108" windowWidth="23256" windowHeight="13896" xr2:uid="{6E86C776-B9C5-46C8-9EA3-58E8177E3C16}"/>
  </bookViews>
  <sheets>
    <sheet name="Dashboard" sheetId="1" r:id="rId1"/>
    <sheet name="Sheet4" sheetId="4" r:id="rId2"/>
    <sheet name="Data" sheetId="2" r:id="rId3"/>
    <sheet name="Calculations" sheetId="3" r:id="rId4"/>
  </sheets>
  <definedNames>
    <definedName name="Slicer_Product_Category">#N/A</definedName>
    <definedName name="Slicer_Region">#N/A</definedName>
    <definedName name="Slicer_Salesperson">#N/A</definedName>
  </definedNames>
  <calcPr calcId="191029"/>
  <pivotCaches>
    <pivotCache cacheId="9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H5" i="1" s="1"/>
  <c r="B2" i="3"/>
  <c r="D5" i="1" s="1"/>
  <c r="B1" i="3"/>
  <c r="B5" i="1" s="1"/>
  <c r="B3" i="3" l="1"/>
  <c r="F5" i="1" s="1"/>
</calcChain>
</file>

<file path=xl/sharedStrings.xml><?xml version="1.0" encoding="utf-8"?>
<sst xmlns="http://schemas.openxmlformats.org/spreadsheetml/2006/main" count="581" uniqueCount="162">
  <si>
    <t>Order_ID</t>
  </si>
  <si>
    <t>Date</t>
  </si>
  <si>
    <t>Region</t>
  </si>
  <si>
    <t>Salesperson</t>
  </si>
  <si>
    <t>Product_Category</t>
  </si>
  <si>
    <t>Product_Name</t>
  </si>
  <si>
    <t>Quantity</t>
  </si>
  <si>
    <t>Unit_Price</t>
  </si>
  <si>
    <t>Order_Total</t>
  </si>
  <si>
    <t>ORD0056</t>
  </si>
  <si>
    <t>North</t>
  </si>
  <si>
    <t>Bob</t>
  </si>
  <si>
    <t>Furniture</t>
  </si>
  <si>
    <t>Desk</t>
  </si>
  <si>
    <t>ORD0046</t>
  </si>
  <si>
    <t>East</t>
  </si>
  <si>
    <t>Eve</t>
  </si>
  <si>
    <t>Chair</t>
  </si>
  <si>
    <t>ORD0090</t>
  </si>
  <si>
    <t>Frank</t>
  </si>
  <si>
    <t>Accessories</t>
  </si>
  <si>
    <t>Headphones</t>
  </si>
  <si>
    <t>ORD0016</t>
  </si>
  <si>
    <t>West</t>
  </si>
  <si>
    <t>Henry</t>
  </si>
  <si>
    <t>ORD0052</t>
  </si>
  <si>
    <t>South</t>
  </si>
  <si>
    <t>Diana</t>
  </si>
  <si>
    <t>ORD0084</t>
  </si>
  <si>
    <t>Alice</t>
  </si>
  <si>
    <t>Electronics</t>
  </si>
  <si>
    <t>Keyboard</t>
  </si>
  <si>
    <t>ORD0014</t>
  </si>
  <si>
    <t>Monitor</t>
  </si>
  <si>
    <t>ORD0035</t>
  </si>
  <si>
    <t>Laptop</t>
  </si>
  <si>
    <t>ORD0044</t>
  </si>
  <si>
    <t>ORD0099</t>
  </si>
  <si>
    <t>ORD0024</t>
  </si>
  <si>
    <t>ORD0015</t>
  </si>
  <si>
    <t>ORD0011</t>
  </si>
  <si>
    <t>ORD0036</t>
  </si>
  <si>
    <t>Grace</t>
  </si>
  <si>
    <t>ORD0025</t>
  </si>
  <si>
    <t>Lamp</t>
  </si>
  <si>
    <t>ORD0039</t>
  </si>
  <si>
    <t>ORD0006</t>
  </si>
  <si>
    <t>ORD0037</t>
  </si>
  <si>
    <t>ORD0031</t>
  </si>
  <si>
    <t>USB Cable</t>
  </si>
  <si>
    <t>ORD0001</t>
  </si>
  <si>
    <t>ORD0098</t>
  </si>
  <si>
    <t>ORD0018</t>
  </si>
  <si>
    <t>ORD0082</t>
  </si>
  <si>
    <t>ORD0095</t>
  </si>
  <si>
    <t>ORD0097</t>
  </si>
  <si>
    <t>ORD0080</t>
  </si>
  <si>
    <t>ORD0049</t>
  </si>
  <si>
    <t>Charlie</t>
  </si>
  <si>
    <t>ORD0041</t>
  </si>
  <si>
    <t>ORD0017</t>
  </si>
  <si>
    <t>ORD0034</t>
  </si>
  <si>
    <t>Webcam</t>
  </si>
  <si>
    <t>ORD0096</t>
  </si>
  <si>
    <t>Mouse</t>
  </si>
  <si>
    <t>ORD0083</t>
  </si>
  <si>
    <t>ORD0089</t>
  </si>
  <si>
    <t>ORD0040</t>
  </si>
  <si>
    <t>ORD0004</t>
  </si>
  <si>
    <t>ORD0010</t>
  </si>
  <si>
    <t>ORD0065</t>
  </si>
  <si>
    <t>ORD0051</t>
  </si>
  <si>
    <t>ORD0079</t>
  </si>
  <si>
    <t>ORD0062</t>
  </si>
  <si>
    <t>ORD0026</t>
  </si>
  <si>
    <t>ORD0020</t>
  </si>
  <si>
    <t>ORD0033</t>
  </si>
  <si>
    <t>ORD0012</t>
  </si>
  <si>
    <t>ORD0054</t>
  </si>
  <si>
    <t>ORD0038</t>
  </si>
  <si>
    <t>ORD0094</t>
  </si>
  <si>
    <t>ORD0069</t>
  </si>
  <si>
    <t>ORD0043</t>
  </si>
  <si>
    <t>ORD0042</t>
  </si>
  <si>
    <t>ORD0057</t>
  </si>
  <si>
    <t>ORD0077</t>
  </si>
  <si>
    <t>ORD0048</t>
  </si>
  <si>
    <t>ORD0072</t>
  </si>
  <si>
    <t>ORD0070</t>
  </si>
  <si>
    <t>ORD0074</t>
  </si>
  <si>
    <t>ORD0023</t>
  </si>
  <si>
    <t>ORD0029</t>
  </si>
  <si>
    <t>ORD0050</t>
  </si>
  <si>
    <t>ORD0085</t>
  </si>
  <si>
    <t>ORD0078</t>
  </si>
  <si>
    <t>ORD0028</t>
  </si>
  <si>
    <t>ORD0030</t>
  </si>
  <si>
    <t>ORD0013</t>
  </si>
  <si>
    <t>ORD0060</t>
  </si>
  <si>
    <t>ORD0086</t>
  </si>
  <si>
    <t>ORD0087</t>
  </si>
  <si>
    <t>ORD0067</t>
  </si>
  <si>
    <t>ORD0003</t>
  </si>
  <si>
    <t>ORD0008</t>
  </si>
  <si>
    <t>ORD0088</t>
  </si>
  <si>
    <t>ORD0066</t>
  </si>
  <si>
    <t>ORD0071</t>
  </si>
  <si>
    <t>ORD0027</t>
  </si>
  <si>
    <t>ORD0061</t>
  </si>
  <si>
    <t>ORD0063</t>
  </si>
  <si>
    <t>ORD0032</t>
  </si>
  <si>
    <t>ORD0064</t>
  </si>
  <si>
    <t>ORD0002</t>
  </si>
  <si>
    <t>ORD0068</t>
  </si>
  <si>
    <t>ORD0022</t>
  </si>
  <si>
    <t>ORD0093</t>
  </si>
  <si>
    <t>ORD0019</t>
  </si>
  <si>
    <t>ORD0021</t>
  </si>
  <si>
    <t>ORD0075</t>
  </si>
  <si>
    <t>ORD0073</t>
  </si>
  <si>
    <t>ORD0059</t>
  </si>
  <si>
    <t>ORD0100</t>
  </si>
  <si>
    <t>ORD0047</t>
  </si>
  <si>
    <t>ORD0005</t>
  </si>
  <si>
    <t>ORD0055</t>
  </si>
  <si>
    <t>ORD0009</t>
  </si>
  <si>
    <t>ORD0045</t>
  </si>
  <si>
    <t>ORD0053</t>
  </si>
  <si>
    <t>ORD0076</t>
  </si>
  <si>
    <t>ORD0091</t>
  </si>
  <si>
    <t>ORD0007</t>
  </si>
  <si>
    <t>ORD0092</t>
  </si>
  <si>
    <t>ORD0058</t>
  </si>
  <si>
    <t>ORD0081</t>
  </si>
  <si>
    <t>Total Revenue</t>
  </si>
  <si>
    <t>Total Orders</t>
  </si>
  <si>
    <t>Average Order Value</t>
  </si>
  <si>
    <t>Total Quantity Sold</t>
  </si>
  <si>
    <t>SALES PERFORMANCE DASHBOARD</t>
  </si>
  <si>
    <t>Year 2025 - TeachMart Electronics</t>
  </si>
  <si>
    <t>Avg Order Value</t>
  </si>
  <si>
    <t>Total Quantity</t>
  </si>
  <si>
    <t>Row Labels</t>
  </si>
  <si>
    <t>Grand Total</t>
  </si>
  <si>
    <t>Regions</t>
  </si>
  <si>
    <t>Products</t>
  </si>
  <si>
    <t>Sum of Quantity</t>
  </si>
  <si>
    <t>Num_Orders</t>
  </si>
  <si>
    <t>Avg_OrderValue</t>
  </si>
  <si>
    <t>Jan</t>
  </si>
  <si>
    <t>Feb</t>
  </si>
  <si>
    <t>Mar</t>
  </si>
  <si>
    <t>Apr</t>
  </si>
  <si>
    <t>May</t>
  </si>
  <si>
    <t>Jun</t>
  </si>
  <si>
    <t>Jul</t>
  </si>
  <si>
    <t>Aug</t>
  </si>
  <si>
    <t>Sep</t>
  </si>
  <si>
    <t>Oct</t>
  </si>
  <si>
    <t>Nov</t>
  </si>
  <si>
    <t>Dec</t>
  </si>
  <si>
    <t>Total_Revenue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</si>
</sst>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00"/>
    <numFmt numFmtId="166" formatCode="&quot;$&quot;#,##0"/>
  </numFmts>
  <fonts count="8" x14ac:knownFonts="1">
    <font>
      <sz val="11"/>
      <color theme="1"/>
      <name val="Aptos Narrow"/>
      <family val="2"/>
      <scheme val="minor"/>
    </font>
    <font>
      <b/>
      <sz val="11"/>
      <color theme="1"/>
      <name val="Aptos Narrow"/>
      <family val="2"/>
      <scheme val="minor"/>
    </font>
    <font>
      <sz val="11"/>
      <color theme="0"/>
      <name val="Aptos Narrow"/>
      <family val="2"/>
      <scheme val="minor"/>
    </font>
    <font>
      <b/>
      <sz val="11"/>
      <name val="Calibri"/>
    </font>
    <font>
      <sz val="20"/>
      <color theme="0"/>
      <name val="Aptos Narrow"/>
      <family val="2"/>
      <scheme val="minor"/>
    </font>
    <font>
      <i/>
      <sz val="12"/>
      <color theme="1"/>
      <name val="Aptos Narrow"/>
      <family val="2"/>
      <scheme val="minor"/>
    </font>
    <font>
      <b/>
      <sz val="16"/>
      <color theme="1"/>
      <name val="Aptos Narrow"/>
      <family val="2"/>
      <scheme val="minor"/>
    </font>
    <font>
      <b/>
      <sz val="11"/>
      <name val="Calibri"/>
      <family val="2"/>
    </font>
  </fonts>
  <fills count="3">
    <fill>
      <patternFill patternType="none"/>
    </fill>
    <fill>
      <patternFill patternType="gray125"/>
    </fill>
    <fill>
      <patternFill patternType="solid">
        <fgColor rgb="FF0070C0"/>
        <bgColor indexed="64"/>
      </patternFill>
    </fill>
  </fills>
  <borders count="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1">
    <xf numFmtId="0" fontId="0" fillId="0" borderId="0" xfId="0"/>
    <xf numFmtId="0" fontId="3" fillId="0" borderId="0" xfId="0" applyFont="1" applyAlignment="1">
      <alignment horizontal="center"/>
    </xf>
    <xf numFmtId="164" fontId="0" fillId="0" borderId="0" xfId="0" applyNumberFormat="1"/>
    <xf numFmtId="165" fontId="0" fillId="0" borderId="0" xfId="0" applyNumberFormat="1"/>
    <xf numFmtId="1" fontId="0" fillId="0" borderId="0" xfId="0" applyNumberFormat="1"/>
    <xf numFmtId="2" fontId="0" fillId="0" borderId="0" xfId="0" applyNumberFormat="1"/>
    <xf numFmtId="0" fontId="2" fillId="0" borderId="0" xfId="0" applyFont="1"/>
    <xf numFmtId="0" fontId="4" fillId="2" borderId="0" xfId="0" applyFont="1" applyFill="1" applyAlignment="1">
      <alignment horizontal="center"/>
    </xf>
    <xf numFmtId="0" fontId="5" fillId="0" borderId="0" xfId="0" applyFont="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1" fontId="6" fillId="0" borderId="4" xfId="0" applyNumberFormat="1" applyFont="1" applyBorder="1" applyAlignment="1">
      <alignment horizontal="center"/>
    </xf>
    <xf numFmtId="0" fontId="6" fillId="0" borderId="5" xfId="0" applyFont="1" applyBorder="1" applyAlignment="1">
      <alignment horizontal="center"/>
    </xf>
    <xf numFmtId="2" fontId="6" fillId="0" borderId="5" xfId="0" applyNumberFormat="1" applyFont="1" applyBorder="1" applyAlignment="1">
      <alignment horizontal="center"/>
    </xf>
    <xf numFmtId="0" fontId="6" fillId="0" borderId="6" xfId="0" applyFont="1" applyBorder="1" applyAlignment="1">
      <alignment horizontal="center"/>
    </xf>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7" fillId="0" borderId="0" xfId="0" applyFont="1" applyAlignment="1">
      <alignment horizontal="center"/>
    </xf>
  </cellXfs>
  <cellStyles count="1">
    <cellStyle name="Normal" xfId="0" builtinId="0"/>
  </cellStyles>
  <dxfs count="0"/>
  <tableStyles count="1" defaultTableStyle="TableStyleMedium2" defaultPivotStyle="PivotStyleLight16">
    <tableStyle name="Invisible" pivot="0" table="0" count="0" xr9:uid="{2893B167-49B1-43C6-B90F-2E83679D3B2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[sales-performance-dashboard.xlsx]Sheet4!PivotTable2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REVENUE BY REGIONS</a:t>
            </a:r>
          </a:p>
        </c:rich>
      </c:tx>
      <c:layout>
        <c:manualLayout>
          <c:xMode val="edge"/>
          <c:yMode val="edge"/>
          <c:x val="0.36855671033815318"/>
          <c:y val="0.110464302561258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Sheet4!$A$2:$A$6</c:f>
              <c:strCache>
                <c:ptCount val="4"/>
                <c:pt idx="0">
                  <c:v>East</c:v>
                </c:pt>
                <c:pt idx="1">
                  <c:v>West</c:v>
                </c:pt>
                <c:pt idx="2">
                  <c:v>North</c:v>
                </c:pt>
                <c:pt idx="3">
                  <c:v>South</c:v>
                </c:pt>
              </c:strCache>
            </c:strRef>
          </c:cat>
          <c:val>
            <c:numRef>
              <c:f>Sheet4!$B$2:$B$6</c:f>
              <c:numCache>
                <c:formatCode>"$"#,##0</c:formatCode>
                <c:ptCount val="4"/>
                <c:pt idx="0">
                  <c:v>25431.580000000005</c:v>
                </c:pt>
                <c:pt idx="1">
                  <c:v>25096.720000000001</c:v>
                </c:pt>
                <c:pt idx="2">
                  <c:v>18929.649999999998</c:v>
                </c:pt>
                <c:pt idx="3">
                  <c:v>14651.41</c:v>
                </c:pt>
              </c:numCache>
            </c:numRef>
          </c:val>
          <c:extLst>
            <c:ext xmlns:c16="http://schemas.microsoft.com/office/drawing/2014/chart" uri="{C3380CC4-5D6E-409C-BE32-E72D297353CC}">
              <c16:uniqueId val="{00000000-5B0B-42C8-B58A-5659D273F6B9}"/>
            </c:ext>
          </c:extLst>
        </c:ser>
        <c:dLbls>
          <c:dLblPos val="outEnd"/>
          <c:showLegendKey val="0"/>
          <c:showVal val="1"/>
          <c:showCatName val="0"/>
          <c:showSerName val="0"/>
          <c:showPercent val="0"/>
          <c:showBubbleSize val="0"/>
        </c:dLbls>
        <c:gapWidth val="219"/>
        <c:overlap val="-27"/>
        <c:axId val="1375313488"/>
        <c:axId val="1375313968"/>
      </c:barChart>
      <c:catAx>
        <c:axId val="137531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13968"/>
        <c:crosses val="autoZero"/>
        <c:auto val="1"/>
        <c:lblAlgn val="ctr"/>
        <c:lblOffset val="100"/>
        <c:noMultiLvlLbl val="0"/>
      </c:catAx>
      <c:valAx>
        <c:axId val="13753139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1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[sales-performance-dashboard.xlsx]Sheet4!PivotTable3</c:name>
    <c:fmtId val="1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b="0"/>
              <a:t>products by sales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Sheet4!$B$9</c:f>
              <c:strCache>
                <c:ptCount val="1"/>
                <c:pt idx="0">
                  <c:v>Total 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Sheet4!$A$10:$A$20</c:f>
              <c:strCache>
                <c:ptCount val="10"/>
                <c:pt idx="0">
                  <c:v>Laptop</c:v>
                </c:pt>
                <c:pt idx="1">
                  <c:v>Desk</c:v>
                </c:pt>
                <c:pt idx="2">
                  <c:v>Chair</c:v>
                </c:pt>
                <c:pt idx="3">
                  <c:v>Monitor</c:v>
                </c:pt>
                <c:pt idx="4">
                  <c:v>Lamp</c:v>
                </c:pt>
                <c:pt idx="5">
                  <c:v>Headphones</c:v>
                </c:pt>
                <c:pt idx="6">
                  <c:v>Keyboard</c:v>
                </c:pt>
                <c:pt idx="7">
                  <c:v>Mouse</c:v>
                </c:pt>
                <c:pt idx="8">
                  <c:v>Webcam</c:v>
                </c:pt>
                <c:pt idx="9">
                  <c:v>USB Cable</c:v>
                </c:pt>
              </c:strCache>
            </c:strRef>
          </c:cat>
          <c:val>
            <c:numRef>
              <c:f>Sheet4!$B$10:$B$20</c:f>
              <c:numCache>
                <c:formatCode>"$"#,##0</c:formatCode>
                <c:ptCount val="10"/>
                <c:pt idx="0">
                  <c:v>46628.89</c:v>
                </c:pt>
                <c:pt idx="1">
                  <c:v>11901.869999999999</c:v>
                </c:pt>
                <c:pt idx="2">
                  <c:v>8551.77</c:v>
                </c:pt>
                <c:pt idx="3">
                  <c:v>8309.86</c:v>
                </c:pt>
                <c:pt idx="4">
                  <c:v>2423.6799999999998</c:v>
                </c:pt>
                <c:pt idx="5">
                  <c:v>2135.7800000000002</c:v>
                </c:pt>
                <c:pt idx="6">
                  <c:v>1657.96</c:v>
                </c:pt>
                <c:pt idx="7">
                  <c:v>1203.82</c:v>
                </c:pt>
                <c:pt idx="8">
                  <c:v>858.97</c:v>
                </c:pt>
                <c:pt idx="9">
                  <c:v>436.76</c:v>
                </c:pt>
              </c:numCache>
            </c:numRef>
          </c:val>
          <c:extLst>
            <c:ext xmlns:c16="http://schemas.microsoft.com/office/drawing/2014/chart" uri="{C3380CC4-5D6E-409C-BE32-E72D297353CC}">
              <c16:uniqueId val="{00000000-9D0D-401C-B5DB-9A57BD344BAA}"/>
            </c:ext>
          </c:extLst>
        </c:ser>
        <c:ser>
          <c:idx val="1"/>
          <c:order val="1"/>
          <c:tx>
            <c:strRef>
              <c:f>Sheet4!$C$9</c:f>
              <c:strCache>
                <c:ptCount val="1"/>
                <c:pt idx="0">
                  <c:v>Sum of Quantity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Sheet4!$A$10:$A$20</c:f>
              <c:strCache>
                <c:ptCount val="10"/>
                <c:pt idx="0">
                  <c:v>Laptop</c:v>
                </c:pt>
                <c:pt idx="1">
                  <c:v>Desk</c:v>
                </c:pt>
                <c:pt idx="2">
                  <c:v>Chair</c:v>
                </c:pt>
                <c:pt idx="3">
                  <c:v>Monitor</c:v>
                </c:pt>
                <c:pt idx="4">
                  <c:v>Lamp</c:v>
                </c:pt>
                <c:pt idx="5">
                  <c:v>Headphones</c:v>
                </c:pt>
                <c:pt idx="6">
                  <c:v>Keyboard</c:v>
                </c:pt>
                <c:pt idx="7">
                  <c:v>Mouse</c:v>
                </c:pt>
                <c:pt idx="8">
                  <c:v>Webcam</c:v>
                </c:pt>
                <c:pt idx="9">
                  <c:v>USB Cable</c:v>
                </c:pt>
              </c:strCache>
            </c:strRef>
          </c:cat>
          <c:val>
            <c:numRef>
              <c:f>Sheet4!$C$10:$C$20</c:f>
              <c:numCache>
                <c:formatCode>General</c:formatCode>
                <c:ptCount val="10"/>
                <c:pt idx="0">
                  <c:v>46</c:v>
                </c:pt>
                <c:pt idx="1">
                  <c:v>29</c:v>
                </c:pt>
                <c:pt idx="2">
                  <c:v>34</c:v>
                </c:pt>
                <c:pt idx="3">
                  <c:v>30</c:v>
                </c:pt>
                <c:pt idx="4">
                  <c:v>52</c:v>
                </c:pt>
                <c:pt idx="5">
                  <c:v>32</c:v>
                </c:pt>
                <c:pt idx="6">
                  <c:v>18</c:v>
                </c:pt>
                <c:pt idx="7">
                  <c:v>39</c:v>
                </c:pt>
                <c:pt idx="8">
                  <c:v>11</c:v>
                </c:pt>
                <c:pt idx="9">
                  <c:v>35</c:v>
                </c:pt>
              </c:numCache>
            </c:numRef>
          </c:val>
          <c:extLst>
            <c:ext xmlns:c16="http://schemas.microsoft.com/office/drawing/2014/chart" uri="{C3380CC4-5D6E-409C-BE32-E72D297353CC}">
              <c16:uniqueId val="{00000002-9D0D-401C-B5DB-9A57BD344BAA}"/>
            </c:ext>
          </c:extLst>
        </c:ser>
        <c:dLbls>
          <c:dLblPos val="outEnd"/>
          <c:showLegendKey val="0"/>
          <c:showVal val="1"/>
          <c:showCatName val="0"/>
          <c:showSerName val="0"/>
          <c:showPercent val="0"/>
          <c:showBubbleSize val="0"/>
        </c:dLbls>
        <c:gapWidth val="79"/>
        <c:axId val="1377340144"/>
        <c:axId val="1377334384"/>
      </c:barChart>
      <c:catAx>
        <c:axId val="137734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77334384"/>
        <c:crosses val="autoZero"/>
        <c:auto val="1"/>
        <c:lblAlgn val="ctr"/>
        <c:lblOffset val="100"/>
        <c:noMultiLvlLbl val="0"/>
      </c:catAx>
      <c:valAx>
        <c:axId val="137733438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377340144"/>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[sales-performance-dashboard.xlsx]Sheet4!PivotTable7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PERFORM</a:t>
            </a:r>
            <a:r>
              <a:rPr lang="en-US" sz="1600" baseline="0"/>
              <a:t>ANCE BY SALES</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Sheet4!$H$1</c:f>
              <c:strCache>
                <c:ptCount val="1"/>
                <c:pt idx="0">
                  <c:v>Total Revenue</c:v>
                </c:pt>
              </c:strCache>
            </c:strRef>
          </c:tx>
          <c:spPr>
            <a:solidFill>
              <a:schemeClr val="accent1"/>
            </a:solidFill>
            <a:ln>
              <a:noFill/>
            </a:ln>
            <a:effectLst/>
          </c:spPr>
          <c:invertIfNegative val="0"/>
          <c:cat>
            <c:strRef>
              <c:f>Sheet4!$G$2:$G$10</c:f>
              <c:strCache>
                <c:ptCount val="8"/>
                <c:pt idx="0">
                  <c:v>Frank</c:v>
                </c:pt>
                <c:pt idx="1">
                  <c:v>Grace</c:v>
                </c:pt>
                <c:pt idx="2">
                  <c:v>Alice</c:v>
                </c:pt>
                <c:pt idx="3">
                  <c:v>Henry</c:v>
                </c:pt>
                <c:pt idx="4">
                  <c:v>Diana</c:v>
                </c:pt>
                <c:pt idx="5">
                  <c:v>Eve</c:v>
                </c:pt>
                <c:pt idx="6">
                  <c:v>Bob</c:v>
                </c:pt>
                <c:pt idx="7">
                  <c:v>Charlie</c:v>
                </c:pt>
              </c:strCache>
            </c:strRef>
          </c:cat>
          <c:val>
            <c:numRef>
              <c:f>Sheet4!$H$2:$H$10</c:f>
              <c:numCache>
                <c:formatCode>"$"#,##0</c:formatCode>
                <c:ptCount val="8"/>
                <c:pt idx="0">
                  <c:v>16462.78</c:v>
                </c:pt>
                <c:pt idx="1">
                  <c:v>13822.819999999998</c:v>
                </c:pt>
                <c:pt idx="2">
                  <c:v>13066.84</c:v>
                </c:pt>
                <c:pt idx="3">
                  <c:v>11273.9</c:v>
                </c:pt>
                <c:pt idx="4">
                  <c:v>10701.63</c:v>
                </c:pt>
                <c:pt idx="5">
                  <c:v>8968.7999999999975</c:v>
                </c:pt>
                <c:pt idx="6">
                  <c:v>5862.81</c:v>
                </c:pt>
                <c:pt idx="7">
                  <c:v>3949.7799999999988</c:v>
                </c:pt>
              </c:numCache>
            </c:numRef>
          </c:val>
          <c:extLst>
            <c:ext xmlns:c16="http://schemas.microsoft.com/office/drawing/2014/chart" uri="{C3380CC4-5D6E-409C-BE32-E72D297353CC}">
              <c16:uniqueId val="{00000000-099F-4B32-B877-A383F96671BC}"/>
            </c:ext>
          </c:extLst>
        </c:ser>
        <c:ser>
          <c:idx val="1"/>
          <c:order val="1"/>
          <c:tx>
            <c:strRef>
              <c:f>Sheet4!$I$1</c:f>
              <c:strCache>
                <c:ptCount val="1"/>
                <c:pt idx="0">
                  <c:v>Avg_OrderValue</c:v>
                </c:pt>
              </c:strCache>
            </c:strRef>
          </c:tx>
          <c:spPr>
            <a:solidFill>
              <a:schemeClr val="accent2"/>
            </a:solidFill>
            <a:ln>
              <a:noFill/>
            </a:ln>
            <a:effectLst/>
          </c:spPr>
          <c:invertIfNegative val="0"/>
          <c:cat>
            <c:strRef>
              <c:f>Sheet4!$G$2:$G$10</c:f>
              <c:strCache>
                <c:ptCount val="8"/>
                <c:pt idx="0">
                  <c:v>Frank</c:v>
                </c:pt>
                <c:pt idx="1">
                  <c:v>Grace</c:v>
                </c:pt>
                <c:pt idx="2">
                  <c:v>Alice</c:v>
                </c:pt>
                <c:pt idx="3">
                  <c:v>Henry</c:v>
                </c:pt>
                <c:pt idx="4">
                  <c:v>Diana</c:v>
                </c:pt>
                <c:pt idx="5">
                  <c:v>Eve</c:v>
                </c:pt>
                <c:pt idx="6">
                  <c:v>Bob</c:v>
                </c:pt>
                <c:pt idx="7">
                  <c:v>Charlie</c:v>
                </c:pt>
              </c:strCache>
            </c:strRef>
          </c:cat>
          <c:val>
            <c:numRef>
              <c:f>Sheet4!$I$2:$I$10</c:f>
              <c:numCache>
                <c:formatCode>"$"#,##0</c:formatCode>
                <c:ptCount val="8"/>
                <c:pt idx="0">
                  <c:v>1097.5186666666666</c:v>
                </c:pt>
                <c:pt idx="1">
                  <c:v>1256.6199999999999</c:v>
                </c:pt>
                <c:pt idx="2">
                  <c:v>1187.8945454545456</c:v>
                </c:pt>
                <c:pt idx="3">
                  <c:v>1252.6555555555556</c:v>
                </c:pt>
                <c:pt idx="4">
                  <c:v>629.50764705882352</c:v>
                </c:pt>
                <c:pt idx="5">
                  <c:v>560.54999999999984</c:v>
                </c:pt>
                <c:pt idx="6">
                  <c:v>532.98272727272729</c:v>
                </c:pt>
                <c:pt idx="7">
                  <c:v>394.97799999999989</c:v>
                </c:pt>
              </c:numCache>
            </c:numRef>
          </c:val>
          <c:extLst>
            <c:ext xmlns:c16="http://schemas.microsoft.com/office/drawing/2014/chart" uri="{C3380CC4-5D6E-409C-BE32-E72D297353CC}">
              <c16:uniqueId val="{00000001-099F-4B32-B877-A383F96671BC}"/>
            </c:ext>
          </c:extLst>
        </c:ser>
        <c:dLbls>
          <c:showLegendKey val="0"/>
          <c:showVal val="0"/>
          <c:showCatName val="0"/>
          <c:showSerName val="0"/>
          <c:showPercent val="0"/>
          <c:showBubbleSize val="0"/>
        </c:dLbls>
        <c:gapWidth val="219"/>
        <c:overlap val="-27"/>
        <c:axId val="1417657760"/>
        <c:axId val="1417654400"/>
      </c:barChart>
      <c:lineChart>
        <c:grouping val="standard"/>
        <c:varyColors val="0"/>
        <c:ser>
          <c:idx val="2"/>
          <c:order val="2"/>
          <c:tx>
            <c:strRef>
              <c:f>Sheet4!$J$1</c:f>
              <c:strCache>
                <c:ptCount val="1"/>
                <c:pt idx="0">
                  <c:v>Num_Orders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Sheet4!$G$2:$G$10</c:f>
              <c:strCache>
                <c:ptCount val="8"/>
                <c:pt idx="0">
                  <c:v>Frank</c:v>
                </c:pt>
                <c:pt idx="1">
                  <c:v>Grace</c:v>
                </c:pt>
                <c:pt idx="2">
                  <c:v>Alice</c:v>
                </c:pt>
                <c:pt idx="3">
                  <c:v>Henry</c:v>
                </c:pt>
                <c:pt idx="4">
                  <c:v>Diana</c:v>
                </c:pt>
                <c:pt idx="5">
                  <c:v>Eve</c:v>
                </c:pt>
                <c:pt idx="6">
                  <c:v>Bob</c:v>
                </c:pt>
                <c:pt idx="7">
                  <c:v>Charlie</c:v>
                </c:pt>
              </c:strCache>
            </c:strRef>
          </c:cat>
          <c:val>
            <c:numRef>
              <c:f>Sheet4!$J$2:$J$10</c:f>
              <c:numCache>
                <c:formatCode>General</c:formatCode>
                <c:ptCount val="8"/>
                <c:pt idx="0">
                  <c:v>15</c:v>
                </c:pt>
                <c:pt idx="1">
                  <c:v>11</c:v>
                </c:pt>
                <c:pt idx="2">
                  <c:v>11</c:v>
                </c:pt>
                <c:pt idx="3">
                  <c:v>9</c:v>
                </c:pt>
                <c:pt idx="4">
                  <c:v>17</c:v>
                </c:pt>
                <c:pt idx="5">
                  <c:v>16</c:v>
                </c:pt>
                <c:pt idx="6">
                  <c:v>11</c:v>
                </c:pt>
                <c:pt idx="7">
                  <c:v>10</c:v>
                </c:pt>
              </c:numCache>
            </c:numRef>
          </c:val>
          <c:smooth val="0"/>
          <c:extLst>
            <c:ext xmlns:c16="http://schemas.microsoft.com/office/drawing/2014/chart" uri="{C3380CC4-5D6E-409C-BE32-E72D297353CC}">
              <c16:uniqueId val="{00000002-099F-4B32-B877-A383F96671BC}"/>
            </c:ext>
          </c:extLst>
        </c:ser>
        <c:dLbls>
          <c:showLegendKey val="0"/>
          <c:showVal val="0"/>
          <c:showCatName val="0"/>
          <c:showSerName val="0"/>
          <c:showPercent val="0"/>
          <c:showBubbleSize val="0"/>
        </c:dLbls>
        <c:marker val="1"/>
        <c:smooth val="0"/>
        <c:axId val="1417657760"/>
        <c:axId val="1417654400"/>
      </c:lineChart>
      <c:catAx>
        <c:axId val="141765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654400"/>
        <c:crosses val="autoZero"/>
        <c:auto val="1"/>
        <c:lblAlgn val="ctr"/>
        <c:lblOffset val="100"/>
        <c:noMultiLvlLbl val="0"/>
      </c:catAx>
      <c:valAx>
        <c:axId val="1417654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6577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[sales-performance-dashboard.xlsx]Sheet4!PivotTable8</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600"/>
              <a:t>Monthly Sales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5"/>
            </a:solidFill>
            <a:round/>
          </a:ln>
          <a:effectLst/>
        </c:spPr>
        <c:marker>
          <c:symbol val="circle"/>
          <c:size val="12"/>
          <c:spPr>
            <a:solidFill>
              <a:srgbClr val="00B050">
                <a:alpha val="96000"/>
              </a:srgbClr>
            </a:solidFill>
            <a:ln w="9525" cap="flat" cmpd="sng" algn="ctr">
              <a:solidFill>
                <a:srgbClr val="00B050"/>
              </a:solidFill>
              <a:round/>
            </a:ln>
            <a:effectLst/>
          </c:spPr>
        </c:marker>
      </c:pivotFmt>
      <c:pivotFmt>
        <c:idx val="2"/>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
          <c:idx val="0"/>
          <c:layout>
            <c:manualLayout>
              <c:x val="-2.5747903367129805E-2"/>
              <c:y val="-0.114009951710935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5"/>
            </a:solidFill>
            <a:round/>
          </a:ln>
          <a:effectLst/>
        </c:spPr>
        <c:marker>
          <c:symbol val="circle"/>
          <c:size val="12"/>
          <c:spPr>
            <a:solidFill>
              <a:srgbClr val="FF0000"/>
            </a:solidFill>
            <a:ln w="9525" cap="flat" cmpd="sng" algn="ctr">
              <a:solidFill>
                <a:schemeClr val="accent5"/>
              </a:solidFill>
              <a:round/>
            </a:ln>
            <a:effectLst/>
          </c:spPr>
        </c:marker>
      </c:pivotFmt>
    </c:pivotFmts>
    <c:plotArea>
      <c:layout/>
      <c:lineChart>
        <c:grouping val="standard"/>
        <c:varyColors val="0"/>
        <c:ser>
          <c:idx val="0"/>
          <c:order val="0"/>
          <c:tx>
            <c:strRef>
              <c:f>Sheet4!$H$12</c:f>
              <c:strCache>
                <c:ptCount val="1"/>
                <c:pt idx="0">
                  <c:v>Total</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Pt>
            <c:idx val="1"/>
            <c:marker>
              <c:symbol val="circle"/>
              <c:size val="12"/>
              <c:spPr>
                <a:solidFill>
                  <a:srgbClr val="00B050">
                    <a:alpha val="96000"/>
                  </a:srgbClr>
                </a:solidFill>
                <a:ln w="9525" cap="flat" cmpd="sng" algn="ctr">
                  <a:solidFill>
                    <a:srgbClr val="00B050"/>
                  </a:solidFill>
                  <a:round/>
                </a:ln>
                <a:effectLst/>
              </c:spPr>
            </c:marker>
            <c:bubble3D val="0"/>
            <c:extLst>
              <c:ext xmlns:c16="http://schemas.microsoft.com/office/drawing/2014/chart" uri="{C3380CC4-5D6E-409C-BE32-E72D297353CC}">
                <c16:uniqueId val="{00000003-590A-4031-9591-10BC6BB4526B}"/>
              </c:ext>
            </c:extLst>
          </c:dPt>
          <c:dPt>
            <c:idx val="5"/>
            <c:marker>
              <c:symbol val="circle"/>
              <c:size val="12"/>
              <c:spPr>
                <a:solidFill>
                  <a:srgbClr val="FF0000"/>
                </a:solidFill>
                <a:ln w="9525" cap="flat" cmpd="sng" algn="ctr">
                  <a:solidFill>
                    <a:schemeClr val="accent5"/>
                  </a:solidFill>
                  <a:round/>
                </a:ln>
                <a:effectLst/>
              </c:spPr>
            </c:marker>
            <c:bubble3D val="0"/>
            <c:extLst>
              <c:ext xmlns:c16="http://schemas.microsoft.com/office/drawing/2014/chart" uri="{C3380CC4-5D6E-409C-BE32-E72D297353CC}">
                <c16:uniqueId val="{00000005-590A-4031-9591-10BC6BB4526B}"/>
              </c:ext>
            </c:extLst>
          </c:dPt>
          <c:dLbls>
            <c:dLbl>
              <c:idx val="0"/>
              <c:layout>
                <c:manualLayout>
                  <c:x val="-2.5747903367129805E-2"/>
                  <c:y val="-0.114009951710935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90A-4031-9591-10BC6BB452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trendline>
            <c:spPr>
              <a:ln w="9525" cap="rnd">
                <a:solidFill>
                  <a:schemeClr val="accent5"/>
                </a:solidFill>
              </a:ln>
              <a:effectLst/>
            </c:spPr>
            <c:trendlineType val="linear"/>
            <c:dispRSqr val="0"/>
            <c:dispEq val="0"/>
          </c:trendline>
          <c:cat>
            <c:strRef>
              <c:f>Sheet4!$G$13:$G$25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Sheet4!$H$13:$H$25</c:f>
              <c:numCache>
                <c:formatCode>"$"#,##0</c:formatCode>
                <c:ptCount val="12"/>
                <c:pt idx="0">
                  <c:v>7200.7799999999988</c:v>
                </c:pt>
                <c:pt idx="1">
                  <c:v>17779.84</c:v>
                </c:pt>
                <c:pt idx="2">
                  <c:v>7528.88</c:v>
                </c:pt>
                <c:pt idx="3">
                  <c:v>9735.8599999999988</c:v>
                </c:pt>
                <c:pt idx="4">
                  <c:v>11185.859999999997</c:v>
                </c:pt>
                <c:pt idx="5">
                  <c:v>353.90999999999997</c:v>
                </c:pt>
                <c:pt idx="6">
                  <c:v>2553.98</c:v>
                </c:pt>
                <c:pt idx="7">
                  <c:v>10410.569999999998</c:v>
                </c:pt>
                <c:pt idx="8">
                  <c:v>5547.9000000000005</c:v>
                </c:pt>
                <c:pt idx="9">
                  <c:v>4893.95</c:v>
                </c:pt>
                <c:pt idx="10">
                  <c:v>1389.8700000000001</c:v>
                </c:pt>
                <c:pt idx="11">
                  <c:v>5527.96</c:v>
                </c:pt>
              </c:numCache>
            </c:numRef>
          </c:val>
          <c:smooth val="0"/>
          <c:extLst>
            <c:ext xmlns:c16="http://schemas.microsoft.com/office/drawing/2014/chart" uri="{C3380CC4-5D6E-409C-BE32-E72D297353CC}">
              <c16:uniqueId val="{00000000-590A-4031-9591-10BC6BB4526B}"/>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96552448"/>
        <c:axId val="1696558208"/>
      </c:lineChart>
      <c:catAx>
        <c:axId val="16965524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96558208"/>
        <c:crosses val="autoZero"/>
        <c:auto val="1"/>
        <c:lblAlgn val="ctr"/>
        <c:lblOffset val="100"/>
        <c:noMultiLvlLbl val="0"/>
      </c:catAx>
      <c:valAx>
        <c:axId val="169655820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Total 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9655244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7621</xdr:colOff>
      <xdr:row>6</xdr:row>
      <xdr:rowOff>28164</xdr:rowOff>
    </xdr:from>
    <xdr:to>
      <xdr:col>8</xdr:col>
      <xdr:colOff>8965</xdr:colOff>
      <xdr:row>16</xdr:row>
      <xdr:rowOff>128494</xdr:rowOff>
    </xdr:to>
    <xdr:graphicFrame macro="">
      <xdr:nvGraphicFramePr>
        <xdr:cNvPr id="4" name="Chart 3">
          <a:extLst>
            <a:ext uri="{FF2B5EF4-FFF2-40B4-BE49-F238E27FC236}">
              <a16:creationId xmlns:a16="http://schemas.microsoft.com/office/drawing/2014/main" id="{06AAF384-51BF-BA8D-19C0-9098494E5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144556</xdr:rowOff>
    </xdr:from>
    <xdr:to>
      <xdr:col>8</xdr:col>
      <xdr:colOff>17930</xdr:colOff>
      <xdr:row>32</xdr:row>
      <xdr:rowOff>148366</xdr:rowOff>
    </xdr:to>
    <xdr:graphicFrame macro="">
      <xdr:nvGraphicFramePr>
        <xdr:cNvPr id="12" name="Chart 11">
          <a:extLst>
            <a:ext uri="{FF2B5EF4-FFF2-40B4-BE49-F238E27FC236}">
              <a16:creationId xmlns:a16="http://schemas.microsoft.com/office/drawing/2014/main" id="{3A6BACEB-702B-528A-0EE1-20BD654C2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2465</xdr:colOff>
      <xdr:row>32</xdr:row>
      <xdr:rowOff>162485</xdr:rowOff>
    </xdr:from>
    <xdr:to>
      <xdr:col>8</xdr:col>
      <xdr:colOff>35859</xdr:colOff>
      <xdr:row>48</xdr:row>
      <xdr:rowOff>21515</xdr:rowOff>
    </xdr:to>
    <xdr:graphicFrame macro="">
      <xdr:nvGraphicFramePr>
        <xdr:cNvPr id="13" name="Chart 12">
          <a:extLst>
            <a:ext uri="{FF2B5EF4-FFF2-40B4-BE49-F238E27FC236}">
              <a16:creationId xmlns:a16="http://schemas.microsoft.com/office/drawing/2014/main" id="{D133C272-082A-AC0E-9107-0BC68F62A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48</xdr:row>
      <xdr:rowOff>29358</xdr:rowOff>
    </xdr:from>
    <xdr:to>
      <xdr:col>8</xdr:col>
      <xdr:colOff>35859</xdr:colOff>
      <xdr:row>61</xdr:row>
      <xdr:rowOff>101749</xdr:rowOff>
    </xdr:to>
    <xdr:graphicFrame macro="">
      <xdr:nvGraphicFramePr>
        <xdr:cNvPr id="15" name="Chart 14">
          <a:extLst>
            <a:ext uri="{FF2B5EF4-FFF2-40B4-BE49-F238E27FC236}">
              <a16:creationId xmlns:a16="http://schemas.microsoft.com/office/drawing/2014/main" id="{DC7D71DB-02EC-3665-BED3-3A19F2EF8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71717</xdr:colOff>
      <xdr:row>16</xdr:row>
      <xdr:rowOff>134470</xdr:rowOff>
    </xdr:from>
    <xdr:to>
      <xdr:col>11</xdr:col>
      <xdr:colOff>125505</xdr:colOff>
      <xdr:row>23</xdr:row>
      <xdr:rowOff>26894</xdr:rowOff>
    </xdr:to>
    <mc:AlternateContent xmlns:mc="http://schemas.openxmlformats.org/markup-compatibility/2006">
      <mc:Choice xmlns:a14="http://schemas.microsoft.com/office/drawing/2010/main" Requires="a14">
        <xdr:graphicFrame macro="">
          <xdr:nvGraphicFramePr>
            <xdr:cNvPr id="34" name="Product_Category">
              <a:extLst>
                <a:ext uri="{FF2B5EF4-FFF2-40B4-BE49-F238E27FC236}">
                  <a16:creationId xmlns:a16="http://schemas.microsoft.com/office/drawing/2014/main" id="{36A853CB-796A-4FC6-81A8-E234F6A28A4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6716357" y="3319630"/>
              <a:ext cx="1836868" cy="1172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31824</xdr:colOff>
      <xdr:row>6</xdr:row>
      <xdr:rowOff>13896</xdr:rowOff>
    </xdr:from>
    <xdr:to>
      <xdr:col>11</xdr:col>
      <xdr:colOff>85612</xdr:colOff>
      <xdr:row>14</xdr:row>
      <xdr:rowOff>35859</xdr:rowOff>
    </xdr:to>
    <mc:AlternateContent xmlns:mc="http://schemas.openxmlformats.org/markup-compatibility/2006">
      <mc:Choice xmlns:a14="http://schemas.microsoft.com/office/drawing/2010/main" Requires="a14">
        <xdr:graphicFrame macro="">
          <xdr:nvGraphicFramePr>
            <xdr:cNvPr id="35" name="Region">
              <a:extLst>
                <a:ext uri="{FF2B5EF4-FFF2-40B4-BE49-F238E27FC236}">
                  <a16:creationId xmlns:a16="http://schemas.microsoft.com/office/drawing/2014/main" id="{1963B3FF-EAE1-4BD6-A600-61BA6B4C1E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76464" y="1370256"/>
              <a:ext cx="1836868" cy="1485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54684</xdr:colOff>
      <xdr:row>32</xdr:row>
      <xdr:rowOff>153297</xdr:rowOff>
    </xdr:from>
    <xdr:to>
      <xdr:col>11</xdr:col>
      <xdr:colOff>108472</xdr:colOff>
      <xdr:row>47</xdr:row>
      <xdr:rowOff>45161</xdr:rowOff>
    </xdr:to>
    <mc:AlternateContent xmlns:mc="http://schemas.openxmlformats.org/markup-compatibility/2006">
      <mc:Choice xmlns:a14="http://schemas.microsoft.com/office/drawing/2010/main" Requires="a14">
        <xdr:graphicFrame macro="">
          <xdr:nvGraphicFramePr>
            <xdr:cNvPr id="36" name="Salesperson">
              <a:extLst>
                <a:ext uri="{FF2B5EF4-FFF2-40B4-BE49-F238E27FC236}">
                  <a16:creationId xmlns:a16="http://schemas.microsoft.com/office/drawing/2014/main" id="{DEFD4E2F-AC7A-4F91-8593-A4833764080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699324" y="6264537"/>
              <a:ext cx="1836868" cy="2635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deep Raval" refreshedDate="46024.555679861114" createdVersion="8" refreshedVersion="8" minRefreshableVersion="3" recordCount="100" xr:uid="{02F3FECF-9602-4AE3-B2B6-DEED9AE509D5}">
  <cacheSource type="worksheet">
    <worksheetSource ref="A1:I101" sheet="Data"/>
  </cacheSource>
  <cacheFields count="10">
    <cacheField name="Order_ID" numFmtId="0">
      <sharedItems/>
    </cacheField>
    <cacheField name="Date" numFmtId="164">
      <sharedItems containsSemiMixedTypes="0" containsNonDate="0" containsDate="1" containsString="0" minDate="2025-01-01T00:00:00" maxDate="2025-12-26T00:00:00" count="86">
        <d v="2025-02-22T00:00:00"/>
        <d v="2025-02-02T00:00:00"/>
        <d v="2025-02-10T00:00:00"/>
        <d v="2025-01-05T00:00:00"/>
        <d v="2025-01-06T00:00:00"/>
        <d v="2025-03-22T00:00:00"/>
        <d v="2025-08-04T00:00:00"/>
        <d v="2025-09-28T00:00:00"/>
        <d v="2025-11-07T00:00:00"/>
        <d v="2025-12-23T00:00:00"/>
        <d v="2025-01-01T00:00:00"/>
        <d v="2025-03-21T00:00:00"/>
        <d v="2025-07-16T00:00:00"/>
        <d v="2025-07-26T00:00:00"/>
        <d v="2025-08-09T00:00:00"/>
        <d v="2025-09-30T00:00:00"/>
        <d v="2025-10-01T00:00:00"/>
        <d v="2025-10-26T00:00:00"/>
        <d v="2025-12-05T00:00:00"/>
        <d v="2025-01-13T00:00:00"/>
        <d v="2025-01-27T00:00:00"/>
        <d v="2025-05-20T00:00:00"/>
        <d v="2025-08-11T00:00:00"/>
        <d v="2025-08-31T00:00:00"/>
        <d v="2025-09-24T00:00:00"/>
        <d v="2025-10-03T00:00:00"/>
        <d v="2025-11-08T00:00:00"/>
        <d v="2025-11-25T00:00:00"/>
        <d v="2025-01-22T00:00:00"/>
        <d v="2025-07-19T00:00:00"/>
        <d v="2025-09-29T00:00:00"/>
        <d v="2025-02-06T00:00:00"/>
        <d v="2025-02-07T00:00:00"/>
        <d v="2025-02-24T00:00:00"/>
        <d v="2025-04-12T00:00:00"/>
        <d v="2025-04-20T00:00:00"/>
        <d v="2025-05-19T00:00:00"/>
        <d v="2025-06-03T00:00:00"/>
        <d v="2025-07-24T00:00:00"/>
        <d v="2025-08-08T00:00:00"/>
        <d v="2025-08-12T00:00:00"/>
        <d v="2025-08-17T00:00:00"/>
        <d v="2025-08-18T00:00:00"/>
        <d v="2025-11-26T00:00:00"/>
        <d v="2025-01-26T00:00:00"/>
        <d v="2025-02-25T00:00:00"/>
        <d v="2025-03-03T00:00:00"/>
        <d v="2025-02-03T00:00:00"/>
        <d v="2025-02-04T00:00:00"/>
        <d v="2025-04-23T00:00:00"/>
        <d v="2025-04-24T00:00:00"/>
        <d v="2025-05-02T00:00:00"/>
        <d v="2025-05-16T00:00:00"/>
        <d v="2025-07-03T00:00:00"/>
        <d v="2025-08-05T00:00:00"/>
        <d v="2025-08-26T00:00:00"/>
        <d v="2025-09-16T00:00:00"/>
        <d v="2025-10-23T00:00:00"/>
        <d v="2025-12-21T00:00:00"/>
        <d v="2025-01-25T00:00:00"/>
        <d v="2025-02-11T00:00:00"/>
        <d v="2025-03-20T00:00:00"/>
        <d v="2025-08-21T00:00:00"/>
        <d v="2025-09-01T00:00:00"/>
        <d v="2025-09-04T00:00:00"/>
        <d v="2025-04-10T00:00:00"/>
        <d v="2025-04-19T00:00:00"/>
        <d v="2025-04-21T00:00:00"/>
        <d v="2025-07-14T00:00:00"/>
        <d v="2025-07-30T00:00:00"/>
        <d v="2025-08-27T00:00:00"/>
        <d v="2025-10-19T00:00:00"/>
        <d v="2025-11-06T00:00:00"/>
        <d v="2025-11-27T00:00:00"/>
        <d v="2025-03-06T00:00:00"/>
        <d v="2025-02-20T00:00:00"/>
        <d v="2025-04-25T00:00:00"/>
        <d v="2025-05-03T00:00:00"/>
        <d v="2025-05-25T00:00:00"/>
        <d v="2025-06-10T00:00:00"/>
        <d v="2025-06-17T00:00:00"/>
        <d v="2025-11-23T00:00:00"/>
        <d v="2025-04-08T00:00:00"/>
        <d v="2025-05-01T00:00:00"/>
        <d v="2025-09-11T00:00:00"/>
        <d v="2025-12-25T00:00:00"/>
      </sharedItems>
      <fieldGroup par="9"/>
    </cacheField>
    <cacheField name="Region" numFmtId="0">
      <sharedItems count="4">
        <s v="North"/>
        <s v="East"/>
        <s v="West"/>
        <s v="South"/>
      </sharedItems>
    </cacheField>
    <cacheField name="Salesperson" numFmtId="0">
      <sharedItems count="8">
        <s v="Alice"/>
        <s v="Frank"/>
        <s v="Eve"/>
        <s v="Henry"/>
        <s v="Bob"/>
        <s v="Charlie"/>
        <s v="Diana"/>
        <s v="Grace"/>
      </sharedItems>
    </cacheField>
    <cacheField name="Product_Category" numFmtId="0">
      <sharedItems count="3">
        <s v="Furniture"/>
        <s v="Accessories"/>
        <s v="Electronics"/>
      </sharedItems>
    </cacheField>
    <cacheField name="Product_Name" numFmtId="0">
      <sharedItems count="10">
        <s v="Chair"/>
        <s v="Desk"/>
        <s v="Headphones"/>
        <s v="Keyboard"/>
        <s v="Lamp"/>
        <s v="Laptop"/>
        <s v="Monitor"/>
        <s v="Mouse"/>
        <s v="USB Cable"/>
        <s v="Webcam"/>
      </sharedItems>
    </cacheField>
    <cacheField name="Quantity" numFmtId="0">
      <sharedItems containsSemiMixedTypes="0" containsString="0" containsNumber="1" containsInteger="1" minValue="1" maxValue="5"/>
    </cacheField>
    <cacheField name="Unit_Price" numFmtId="165">
      <sharedItems containsSemiMixedTypes="0" containsString="0" containsNumber="1" minValue="10" maxValue="1198"/>
    </cacheField>
    <cacheField name="Order_Total" numFmtId="165">
      <sharedItems containsSemiMixedTypes="0" containsString="0" containsNumber="1" minValue="21.98" maxValue="4845" count="97">
        <n v="424"/>
        <n v="360"/>
        <n v="1148"/>
        <n v="1459.95"/>
        <n v="1429.95"/>
        <n v="715.96"/>
        <n v="167.99"/>
        <n v="870"/>
        <n v="955.96"/>
        <n v="1019.96"/>
        <n v="2374.9499999999998"/>
        <n v="1460"/>
        <n v="1954.95"/>
        <n v="670"/>
        <n v="472"/>
        <n v="755.98"/>
        <n v="321.99"/>
        <n v="2095"/>
        <n v="1317"/>
        <n v="480"/>
        <n v="160"/>
        <n v="117.98"/>
        <n v="344.95"/>
        <n v="69.98"/>
        <n v="236.97"/>
        <n v="141.97999999999999"/>
        <n v="365"/>
        <n v="234"/>
        <n v="315.95999999999998"/>
        <n v="43.99"/>
        <n v="104.97"/>
        <n v="248.97"/>
        <n v="376"/>
        <n v="465"/>
        <n v="77.989999999999995"/>
        <n v="490"/>
        <n v="37"/>
        <n v="119.97"/>
        <n v="190"/>
        <n v="239.96"/>
        <n v="165"/>
        <n v="163.96"/>
        <n v="230"/>
        <n v="156"/>
        <n v="239.95"/>
        <n v="219.96"/>
        <n v="294.95"/>
        <n v="105.98"/>
        <n v="209.95"/>
        <n v="51"/>
        <n v="1182.99"/>
        <n v="3594"/>
        <n v="3507"/>
        <n v="2885.97"/>
        <n v="4475"/>
        <n v="4736"/>
        <n v="3980"/>
        <n v="4845"/>
        <n v="4665"/>
        <n v="957.99"/>
        <n v="3413.97"/>
        <n v="1885.98"/>
        <n v="1694"/>
        <n v="1005.99"/>
        <n v="3800"/>
        <n v="330.99"/>
        <n v="1740"/>
        <n v="1255"/>
        <n v="1188"/>
        <n v="497.98"/>
        <n v="677.97"/>
        <n v="463.98"/>
        <n v="771.98"/>
        <n v="412"/>
        <n v="971.96"/>
        <n v="28.99"/>
        <n v="120"/>
        <n v="61.98"/>
        <n v="164.95"/>
        <n v="65.98"/>
        <n v="60"/>
        <n v="169.95"/>
        <n v="71.97"/>
        <n v="140"/>
        <n v="35.97"/>
        <n v="54.95"/>
        <n v="45"/>
        <n v="32.97"/>
        <n v="31.98"/>
        <n v="30"/>
        <n v="79.95"/>
        <n v="43.96"/>
        <n v="21.98"/>
        <n v="193.98"/>
        <n v="92.99"/>
        <n v="344"/>
        <n v="228"/>
      </sharedItems>
    </cacheField>
    <cacheField name="Months (Date)" numFmtId="0" databaseField="0">
      <fieldGroup base="1">
        <rangePr groupBy="months" startDate="2025-01-01T00:00:00" endDate="2025-12-26T00:00:00"/>
        <groupItems count="14">
          <s v="&lt;1/1/2025"/>
          <s v="Jan"/>
          <s v="Feb"/>
          <s v="Mar"/>
          <s v="Apr"/>
          <s v="May"/>
          <s v="Jun"/>
          <s v="Jul"/>
          <s v="Aug"/>
          <s v="Sep"/>
          <s v="Oct"/>
          <s v="Nov"/>
          <s v="Dec"/>
          <s v="&gt;12/26/2025"/>
        </groupItems>
      </fieldGroup>
    </cacheField>
  </cacheFields>
  <extLst>
    <ext xmlns:x14="http://schemas.microsoft.com/office/spreadsheetml/2009/9/main" uri="{725AE2AE-9491-48be-B2B4-4EB974FC3084}">
      <x14:pivotCacheDefinition pivotCacheId="627752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x v="0"/>
    <x v="0"/>
    <x v="0"/>
    <x v="0"/>
    <n v="2"/>
    <n v="212"/>
    <x v="0"/>
  </r>
  <r>
    <s v="ORD0024"/>
    <x v="1"/>
    <x v="1"/>
    <x v="1"/>
    <x v="0"/>
    <x v="0"/>
    <n v="2"/>
    <n v="180"/>
    <x v="1"/>
  </r>
  <r>
    <s v="ORD0006"/>
    <x v="2"/>
    <x v="1"/>
    <x v="2"/>
    <x v="0"/>
    <x v="0"/>
    <n v="4"/>
    <n v="287"/>
    <x v="2"/>
  </r>
  <r>
    <s v="ORD0046"/>
    <x v="3"/>
    <x v="1"/>
    <x v="2"/>
    <x v="0"/>
    <x v="0"/>
    <n v="5"/>
    <n v="291.99"/>
    <x v="3"/>
  </r>
  <r>
    <s v="ORD0016"/>
    <x v="4"/>
    <x v="2"/>
    <x v="3"/>
    <x v="0"/>
    <x v="0"/>
    <n v="5"/>
    <n v="285.99"/>
    <x v="4"/>
  </r>
  <r>
    <s v="ORD0017"/>
    <x v="5"/>
    <x v="0"/>
    <x v="4"/>
    <x v="0"/>
    <x v="0"/>
    <n v="4"/>
    <n v="178.99"/>
    <x v="5"/>
  </r>
  <r>
    <s v="ORD0085"/>
    <x v="6"/>
    <x v="1"/>
    <x v="1"/>
    <x v="0"/>
    <x v="0"/>
    <n v="1"/>
    <n v="167.99"/>
    <x v="6"/>
  </r>
  <r>
    <s v="ORD0022"/>
    <x v="7"/>
    <x v="3"/>
    <x v="5"/>
    <x v="0"/>
    <x v="0"/>
    <n v="3"/>
    <n v="290"/>
    <x v="7"/>
  </r>
  <r>
    <s v="ORD0055"/>
    <x v="8"/>
    <x v="0"/>
    <x v="0"/>
    <x v="0"/>
    <x v="0"/>
    <n v="4"/>
    <n v="238.99"/>
    <x v="8"/>
  </r>
  <r>
    <s v="ORD0058"/>
    <x v="9"/>
    <x v="0"/>
    <x v="4"/>
    <x v="0"/>
    <x v="0"/>
    <n v="4"/>
    <n v="254.99"/>
    <x v="9"/>
  </r>
  <r>
    <s v="ORD0015"/>
    <x v="1"/>
    <x v="0"/>
    <x v="0"/>
    <x v="0"/>
    <x v="1"/>
    <n v="5"/>
    <n v="474.99"/>
    <x v="10"/>
  </r>
  <r>
    <s v="ORD0056"/>
    <x v="10"/>
    <x v="0"/>
    <x v="4"/>
    <x v="0"/>
    <x v="1"/>
    <n v="4"/>
    <n v="365"/>
    <x v="11"/>
  </r>
  <r>
    <s v="ORD0049"/>
    <x v="11"/>
    <x v="3"/>
    <x v="5"/>
    <x v="0"/>
    <x v="1"/>
    <n v="5"/>
    <n v="390.99"/>
    <x v="12"/>
  </r>
  <r>
    <s v="ORD0070"/>
    <x v="12"/>
    <x v="1"/>
    <x v="1"/>
    <x v="0"/>
    <x v="1"/>
    <n v="2"/>
    <n v="335"/>
    <x v="13"/>
  </r>
  <r>
    <s v="ORD0029"/>
    <x v="13"/>
    <x v="2"/>
    <x v="3"/>
    <x v="0"/>
    <x v="1"/>
    <n v="1"/>
    <n v="472"/>
    <x v="14"/>
  </r>
  <r>
    <s v="ORD0060"/>
    <x v="14"/>
    <x v="1"/>
    <x v="1"/>
    <x v="0"/>
    <x v="1"/>
    <n v="2"/>
    <n v="377.99"/>
    <x v="15"/>
  </r>
  <r>
    <s v="ORD0021"/>
    <x v="15"/>
    <x v="0"/>
    <x v="0"/>
    <x v="0"/>
    <x v="1"/>
    <n v="1"/>
    <n v="321.99"/>
    <x v="16"/>
  </r>
  <r>
    <s v="ORD0075"/>
    <x v="16"/>
    <x v="1"/>
    <x v="1"/>
    <x v="0"/>
    <x v="1"/>
    <n v="5"/>
    <n v="419"/>
    <x v="17"/>
  </r>
  <r>
    <s v="ORD0047"/>
    <x v="17"/>
    <x v="0"/>
    <x v="0"/>
    <x v="0"/>
    <x v="1"/>
    <n v="3"/>
    <n v="439"/>
    <x v="18"/>
  </r>
  <r>
    <s v="ORD0007"/>
    <x v="18"/>
    <x v="1"/>
    <x v="1"/>
    <x v="0"/>
    <x v="1"/>
    <n v="1"/>
    <n v="480"/>
    <x v="19"/>
  </r>
  <r>
    <s v="ORD0052"/>
    <x v="19"/>
    <x v="3"/>
    <x v="6"/>
    <x v="1"/>
    <x v="2"/>
    <n v="2"/>
    <n v="80"/>
    <x v="20"/>
  </r>
  <r>
    <s v="ORD0099"/>
    <x v="20"/>
    <x v="0"/>
    <x v="4"/>
    <x v="1"/>
    <x v="2"/>
    <n v="2"/>
    <n v="58.99"/>
    <x v="21"/>
  </r>
  <r>
    <s v="ORD0090"/>
    <x v="4"/>
    <x v="1"/>
    <x v="1"/>
    <x v="1"/>
    <x v="2"/>
    <n v="5"/>
    <n v="68.989999999999995"/>
    <x v="22"/>
  </r>
  <r>
    <s v="ORD0069"/>
    <x v="21"/>
    <x v="2"/>
    <x v="7"/>
    <x v="1"/>
    <x v="2"/>
    <n v="2"/>
    <n v="34.99"/>
    <x v="23"/>
  </r>
  <r>
    <s v="ORD0078"/>
    <x v="6"/>
    <x v="3"/>
    <x v="6"/>
    <x v="1"/>
    <x v="2"/>
    <n v="3"/>
    <n v="78.989999999999995"/>
    <x v="24"/>
  </r>
  <r>
    <s v="ORD0086"/>
    <x v="22"/>
    <x v="2"/>
    <x v="7"/>
    <x v="1"/>
    <x v="2"/>
    <n v="2"/>
    <n v="70.989999999999995"/>
    <x v="25"/>
  </r>
  <r>
    <s v="ORD0061"/>
    <x v="23"/>
    <x v="1"/>
    <x v="1"/>
    <x v="1"/>
    <x v="2"/>
    <n v="5"/>
    <n v="73"/>
    <x v="26"/>
  </r>
  <r>
    <s v="ORD0068"/>
    <x v="24"/>
    <x v="3"/>
    <x v="6"/>
    <x v="1"/>
    <x v="2"/>
    <n v="3"/>
    <n v="78"/>
    <x v="27"/>
  </r>
  <r>
    <s v="ORD0073"/>
    <x v="25"/>
    <x v="2"/>
    <x v="7"/>
    <x v="1"/>
    <x v="2"/>
    <n v="4"/>
    <n v="78.989999999999995"/>
    <x v="28"/>
  </r>
  <r>
    <s v="ORD0009"/>
    <x v="26"/>
    <x v="1"/>
    <x v="2"/>
    <x v="1"/>
    <x v="2"/>
    <n v="1"/>
    <n v="43.99"/>
    <x v="29"/>
  </r>
  <r>
    <s v="ORD0053"/>
    <x v="27"/>
    <x v="3"/>
    <x v="6"/>
    <x v="1"/>
    <x v="2"/>
    <n v="3"/>
    <n v="34.99"/>
    <x v="30"/>
  </r>
  <r>
    <s v="ORD0044"/>
    <x v="20"/>
    <x v="3"/>
    <x v="6"/>
    <x v="2"/>
    <x v="3"/>
    <n v="3"/>
    <n v="82.99"/>
    <x v="31"/>
  </r>
  <r>
    <s v="ORD0098"/>
    <x v="0"/>
    <x v="1"/>
    <x v="2"/>
    <x v="2"/>
    <x v="3"/>
    <n v="4"/>
    <n v="94"/>
    <x v="32"/>
  </r>
  <r>
    <s v="ORD0084"/>
    <x v="28"/>
    <x v="0"/>
    <x v="0"/>
    <x v="2"/>
    <x v="3"/>
    <n v="5"/>
    <n v="93"/>
    <x v="33"/>
  </r>
  <r>
    <s v="ORD0074"/>
    <x v="29"/>
    <x v="3"/>
    <x v="6"/>
    <x v="2"/>
    <x v="3"/>
    <n v="1"/>
    <n v="77.989999999999995"/>
    <x v="34"/>
  </r>
  <r>
    <s v="ORD0019"/>
    <x v="30"/>
    <x v="1"/>
    <x v="2"/>
    <x v="2"/>
    <x v="3"/>
    <n v="5"/>
    <n v="98"/>
    <x v="35"/>
  </r>
  <r>
    <s v="ORD0025"/>
    <x v="31"/>
    <x v="1"/>
    <x v="2"/>
    <x v="0"/>
    <x v="4"/>
    <n v="1"/>
    <n v="37"/>
    <x v="36"/>
  </r>
  <r>
    <s v="ORD0039"/>
    <x v="32"/>
    <x v="2"/>
    <x v="7"/>
    <x v="0"/>
    <x v="4"/>
    <n v="3"/>
    <n v="39.99"/>
    <x v="37"/>
  </r>
  <r>
    <s v="ORD0018"/>
    <x v="33"/>
    <x v="2"/>
    <x v="7"/>
    <x v="0"/>
    <x v="4"/>
    <n v="5"/>
    <n v="38"/>
    <x v="38"/>
  </r>
  <r>
    <s v="ORD0083"/>
    <x v="34"/>
    <x v="0"/>
    <x v="4"/>
    <x v="0"/>
    <x v="4"/>
    <n v="4"/>
    <n v="59.99"/>
    <x v="39"/>
  </r>
  <r>
    <s v="ORD0040"/>
    <x v="35"/>
    <x v="0"/>
    <x v="4"/>
    <x v="0"/>
    <x v="4"/>
    <n v="5"/>
    <n v="33"/>
    <x v="40"/>
  </r>
  <r>
    <s v="ORD0094"/>
    <x v="36"/>
    <x v="1"/>
    <x v="1"/>
    <x v="0"/>
    <x v="4"/>
    <n v="4"/>
    <n v="40.99"/>
    <x v="41"/>
  </r>
  <r>
    <s v="ORD0042"/>
    <x v="37"/>
    <x v="2"/>
    <x v="3"/>
    <x v="0"/>
    <x v="4"/>
    <n v="5"/>
    <n v="46"/>
    <x v="42"/>
  </r>
  <r>
    <s v="ORD0023"/>
    <x v="38"/>
    <x v="2"/>
    <x v="7"/>
    <x v="0"/>
    <x v="4"/>
    <n v="3"/>
    <n v="52"/>
    <x v="43"/>
  </r>
  <r>
    <s v="ORD0013"/>
    <x v="39"/>
    <x v="3"/>
    <x v="5"/>
    <x v="0"/>
    <x v="4"/>
    <n v="5"/>
    <n v="47.99"/>
    <x v="44"/>
  </r>
  <r>
    <s v="ORD0087"/>
    <x v="40"/>
    <x v="3"/>
    <x v="6"/>
    <x v="0"/>
    <x v="4"/>
    <n v="4"/>
    <n v="54.99"/>
    <x v="45"/>
  </r>
  <r>
    <s v="ORD0067"/>
    <x v="41"/>
    <x v="1"/>
    <x v="1"/>
    <x v="0"/>
    <x v="4"/>
    <n v="5"/>
    <n v="58.99"/>
    <x v="46"/>
  </r>
  <r>
    <s v="ORD0003"/>
    <x v="42"/>
    <x v="0"/>
    <x v="0"/>
    <x v="0"/>
    <x v="4"/>
    <n v="2"/>
    <n v="52.99"/>
    <x v="47"/>
  </r>
  <r>
    <s v="ORD0093"/>
    <x v="30"/>
    <x v="3"/>
    <x v="6"/>
    <x v="0"/>
    <x v="4"/>
    <n v="5"/>
    <n v="41.99"/>
    <x v="48"/>
  </r>
  <r>
    <s v="ORD0076"/>
    <x v="43"/>
    <x v="0"/>
    <x v="4"/>
    <x v="0"/>
    <x v="4"/>
    <n v="1"/>
    <n v="51"/>
    <x v="49"/>
  </r>
  <r>
    <s v="ORD0035"/>
    <x v="44"/>
    <x v="1"/>
    <x v="2"/>
    <x v="2"/>
    <x v="5"/>
    <n v="1"/>
    <n v="1182.99"/>
    <x v="50"/>
  </r>
  <r>
    <s v="ORD0082"/>
    <x v="45"/>
    <x v="1"/>
    <x v="1"/>
    <x v="2"/>
    <x v="5"/>
    <n v="3"/>
    <n v="1198"/>
    <x v="51"/>
  </r>
  <r>
    <s v="ORD0095"/>
    <x v="46"/>
    <x v="1"/>
    <x v="1"/>
    <x v="2"/>
    <x v="5"/>
    <n v="3"/>
    <n v="1169"/>
    <x v="52"/>
  </r>
  <r>
    <s v="ORD0011"/>
    <x v="47"/>
    <x v="1"/>
    <x v="2"/>
    <x v="2"/>
    <x v="5"/>
    <n v="3"/>
    <n v="961.99"/>
    <x v="53"/>
  </r>
  <r>
    <s v="ORD0036"/>
    <x v="48"/>
    <x v="2"/>
    <x v="7"/>
    <x v="2"/>
    <x v="5"/>
    <n v="5"/>
    <n v="895"/>
    <x v="54"/>
  </r>
  <r>
    <s v="ORD0065"/>
    <x v="49"/>
    <x v="2"/>
    <x v="7"/>
    <x v="2"/>
    <x v="5"/>
    <n v="4"/>
    <n v="1184"/>
    <x v="55"/>
  </r>
  <r>
    <s v="ORD0051"/>
    <x v="50"/>
    <x v="3"/>
    <x v="6"/>
    <x v="2"/>
    <x v="5"/>
    <n v="4"/>
    <n v="995"/>
    <x v="56"/>
  </r>
  <r>
    <s v="ORD0026"/>
    <x v="51"/>
    <x v="0"/>
    <x v="0"/>
    <x v="2"/>
    <x v="5"/>
    <n v="5"/>
    <n v="969"/>
    <x v="57"/>
  </r>
  <r>
    <s v="ORD0054"/>
    <x v="52"/>
    <x v="2"/>
    <x v="3"/>
    <x v="2"/>
    <x v="5"/>
    <n v="5"/>
    <n v="933"/>
    <x v="58"/>
  </r>
  <r>
    <s v="ORD0048"/>
    <x v="53"/>
    <x v="3"/>
    <x v="6"/>
    <x v="2"/>
    <x v="5"/>
    <n v="1"/>
    <n v="957.99"/>
    <x v="59"/>
  </r>
  <r>
    <s v="ORD0028"/>
    <x v="54"/>
    <x v="2"/>
    <x v="7"/>
    <x v="2"/>
    <x v="5"/>
    <n v="3"/>
    <n v="1137.99"/>
    <x v="60"/>
  </r>
  <r>
    <s v="ORD0088"/>
    <x v="55"/>
    <x v="1"/>
    <x v="1"/>
    <x v="2"/>
    <x v="5"/>
    <n v="2"/>
    <n v="942.99"/>
    <x v="61"/>
  </r>
  <r>
    <s v="ORD0002"/>
    <x v="56"/>
    <x v="0"/>
    <x v="4"/>
    <x v="2"/>
    <x v="5"/>
    <n v="2"/>
    <n v="847"/>
    <x v="62"/>
  </r>
  <r>
    <s v="ORD0100"/>
    <x v="57"/>
    <x v="1"/>
    <x v="1"/>
    <x v="2"/>
    <x v="5"/>
    <n v="1"/>
    <n v="1005.99"/>
    <x v="63"/>
  </r>
  <r>
    <s v="ORD0092"/>
    <x v="58"/>
    <x v="2"/>
    <x v="3"/>
    <x v="2"/>
    <x v="5"/>
    <n v="4"/>
    <n v="950"/>
    <x v="64"/>
  </r>
  <r>
    <s v="ORD0014"/>
    <x v="59"/>
    <x v="2"/>
    <x v="3"/>
    <x v="2"/>
    <x v="6"/>
    <n v="1"/>
    <n v="330.99"/>
    <x v="65"/>
  </r>
  <r>
    <s v="ORD0037"/>
    <x v="60"/>
    <x v="3"/>
    <x v="6"/>
    <x v="2"/>
    <x v="6"/>
    <n v="5"/>
    <n v="348"/>
    <x v="66"/>
  </r>
  <r>
    <s v="ORD0080"/>
    <x v="61"/>
    <x v="0"/>
    <x v="0"/>
    <x v="2"/>
    <x v="6"/>
    <n v="5"/>
    <n v="251"/>
    <x v="67"/>
  </r>
  <r>
    <s v="ORD0033"/>
    <x v="52"/>
    <x v="3"/>
    <x v="6"/>
    <x v="2"/>
    <x v="6"/>
    <n v="4"/>
    <n v="297"/>
    <x v="68"/>
  </r>
  <r>
    <s v="ORD0030"/>
    <x v="54"/>
    <x v="1"/>
    <x v="2"/>
    <x v="2"/>
    <x v="6"/>
    <n v="2"/>
    <n v="248.99"/>
    <x v="69"/>
  </r>
  <r>
    <s v="ORD0008"/>
    <x v="62"/>
    <x v="3"/>
    <x v="6"/>
    <x v="2"/>
    <x v="6"/>
    <n v="3"/>
    <n v="225.99"/>
    <x v="70"/>
  </r>
  <r>
    <s v="ORD0066"/>
    <x v="55"/>
    <x v="3"/>
    <x v="6"/>
    <x v="2"/>
    <x v="6"/>
    <n v="2"/>
    <n v="231.99"/>
    <x v="71"/>
  </r>
  <r>
    <s v="ORD0027"/>
    <x v="23"/>
    <x v="1"/>
    <x v="1"/>
    <x v="2"/>
    <x v="6"/>
    <n v="2"/>
    <n v="385.99"/>
    <x v="72"/>
  </r>
  <r>
    <s v="ORD0063"/>
    <x v="63"/>
    <x v="1"/>
    <x v="2"/>
    <x v="2"/>
    <x v="6"/>
    <n v="2"/>
    <n v="206"/>
    <x v="73"/>
  </r>
  <r>
    <s v="ORD0032"/>
    <x v="64"/>
    <x v="0"/>
    <x v="0"/>
    <x v="2"/>
    <x v="6"/>
    <n v="4"/>
    <n v="242.99"/>
    <x v="74"/>
  </r>
  <r>
    <s v="ORD0096"/>
    <x v="65"/>
    <x v="3"/>
    <x v="5"/>
    <x v="2"/>
    <x v="7"/>
    <n v="1"/>
    <n v="28.99"/>
    <x v="75"/>
  </r>
  <r>
    <s v="ORD0089"/>
    <x v="66"/>
    <x v="2"/>
    <x v="3"/>
    <x v="2"/>
    <x v="7"/>
    <n v="4"/>
    <n v="30"/>
    <x v="76"/>
  </r>
  <r>
    <s v="ORD0004"/>
    <x v="67"/>
    <x v="1"/>
    <x v="2"/>
    <x v="2"/>
    <x v="7"/>
    <n v="2"/>
    <n v="30.99"/>
    <x v="77"/>
  </r>
  <r>
    <s v="ORD0010"/>
    <x v="49"/>
    <x v="3"/>
    <x v="5"/>
    <x v="2"/>
    <x v="7"/>
    <n v="5"/>
    <n v="32.99"/>
    <x v="78"/>
  </r>
  <r>
    <s v="ORD0012"/>
    <x v="52"/>
    <x v="3"/>
    <x v="6"/>
    <x v="2"/>
    <x v="7"/>
    <n v="2"/>
    <n v="32.99"/>
    <x v="79"/>
  </r>
  <r>
    <s v="ORD0072"/>
    <x v="68"/>
    <x v="2"/>
    <x v="7"/>
    <x v="2"/>
    <x v="7"/>
    <n v="5"/>
    <n v="32"/>
    <x v="20"/>
  </r>
  <r>
    <s v="ORD0050"/>
    <x v="69"/>
    <x v="3"/>
    <x v="5"/>
    <x v="2"/>
    <x v="7"/>
    <n v="3"/>
    <n v="20"/>
    <x v="80"/>
  </r>
  <r>
    <s v="ORD0071"/>
    <x v="70"/>
    <x v="3"/>
    <x v="5"/>
    <x v="2"/>
    <x v="7"/>
    <n v="5"/>
    <n v="33.99"/>
    <x v="81"/>
  </r>
  <r>
    <s v="ORD0059"/>
    <x v="71"/>
    <x v="1"/>
    <x v="2"/>
    <x v="2"/>
    <x v="7"/>
    <n v="5"/>
    <n v="32"/>
    <x v="20"/>
  </r>
  <r>
    <s v="ORD0005"/>
    <x v="72"/>
    <x v="1"/>
    <x v="2"/>
    <x v="2"/>
    <x v="7"/>
    <n v="3"/>
    <n v="23.99"/>
    <x v="82"/>
  </r>
  <r>
    <s v="ORD0091"/>
    <x v="73"/>
    <x v="3"/>
    <x v="5"/>
    <x v="2"/>
    <x v="7"/>
    <n v="4"/>
    <n v="35"/>
    <x v="83"/>
  </r>
  <r>
    <s v="ORD0041"/>
    <x v="5"/>
    <x v="1"/>
    <x v="2"/>
    <x v="1"/>
    <x v="8"/>
    <n v="3"/>
    <n v="11.99"/>
    <x v="84"/>
  </r>
  <r>
    <s v="ORD0097"/>
    <x v="74"/>
    <x v="1"/>
    <x v="2"/>
    <x v="1"/>
    <x v="8"/>
    <n v="5"/>
    <n v="12"/>
    <x v="80"/>
  </r>
  <r>
    <s v="ORD0031"/>
    <x v="75"/>
    <x v="3"/>
    <x v="6"/>
    <x v="1"/>
    <x v="8"/>
    <n v="5"/>
    <n v="10.99"/>
    <x v="85"/>
  </r>
  <r>
    <s v="ORD0079"/>
    <x v="76"/>
    <x v="1"/>
    <x v="2"/>
    <x v="1"/>
    <x v="8"/>
    <n v="3"/>
    <n v="15"/>
    <x v="86"/>
  </r>
  <r>
    <s v="ORD0020"/>
    <x v="77"/>
    <x v="0"/>
    <x v="4"/>
    <x v="1"/>
    <x v="8"/>
    <n v="3"/>
    <n v="10.99"/>
    <x v="87"/>
  </r>
  <r>
    <s v="ORD0038"/>
    <x v="52"/>
    <x v="2"/>
    <x v="3"/>
    <x v="1"/>
    <x v="8"/>
    <n v="2"/>
    <n v="15.99"/>
    <x v="88"/>
  </r>
  <r>
    <s v="ORD0043"/>
    <x v="78"/>
    <x v="0"/>
    <x v="0"/>
    <x v="1"/>
    <x v="8"/>
    <n v="3"/>
    <n v="10"/>
    <x v="89"/>
  </r>
  <r>
    <s v="ORD0057"/>
    <x v="79"/>
    <x v="3"/>
    <x v="6"/>
    <x v="1"/>
    <x v="8"/>
    <n v="5"/>
    <n v="15.99"/>
    <x v="90"/>
  </r>
  <r>
    <s v="ORD0077"/>
    <x v="80"/>
    <x v="2"/>
    <x v="7"/>
    <x v="1"/>
    <x v="8"/>
    <n v="4"/>
    <n v="10.99"/>
    <x v="91"/>
  </r>
  <r>
    <s v="ORD0045"/>
    <x v="81"/>
    <x v="0"/>
    <x v="4"/>
    <x v="1"/>
    <x v="8"/>
    <n v="2"/>
    <n v="10.99"/>
    <x v="92"/>
  </r>
  <r>
    <s v="ORD0034"/>
    <x v="82"/>
    <x v="2"/>
    <x v="3"/>
    <x v="1"/>
    <x v="9"/>
    <n v="2"/>
    <n v="96.99"/>
    <x v="93"/>
  </r>
  <r>
    <s v="ORD0062"/>
    <x v="83"/>
    <x v="3"/>
    <x v="5"/>
    <x v="1"/>
    <x v="9"/>
    <n v="1"/>
    <n v="92.99"/>
    <x v="94"/>
  </r>
  <r>
    <s v="ORD0064"/>
    <x v="84"/>
    <x v="0"/>
    <x v="4"/>
    <x v="1"/>
    <x v="9"/>
    <n v="4"/>
    <n v="86"/>
    <x v="95"/>
  </r>
  <r>
    <s v="ORD0081"/>
    <x v="85"/>
    <x v="3"/>
    <x v="5"/>
    <x v="1"/>
    <x v="9"/>
    <n v="4"/>
    <n v="57"/>
    <x v="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E28305-7F07-42E5-B556-E199CC25F37F}" name="PivotTable2"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s" fieldListSortAscending="1">
  <location ref="A1:B6" firstHeaderRow="1" firstDataRow="1" firstDataCol="1"/>
  <pivotFields count="10">
    <pivotField showAll="0"/>
    <pivotField showAll="0">
      <items count="87">
        <item x="10"/>
        <item x="3"/>
        <item x="4"/>
        <item x="19"/>
        <item x="28"/>
        <item x="59"/>
        <item x="44"/>
        <item x="20"/>
        <item x="1"/>
        <item x="47"/>
        <item x="48"/>
        <item x="31"/>
        <item x="32"/>
        <item x="2"/>
        <item x="60"/>
        <item x="75"/>
        <item x="0"/>
        <item x="33"/>
        <item x="45"/>
        <item x="46"/>
        <item x="74"/>
        <item x="61"/>
        <item x="11"/>
        <item x="5"/>
        <item x="82"/>
        <item x="65"/>
        <item x="34"/>
        <item x="66"/>
        <item x="35"/>
        <item x="67"/>
        <item x="49"/>
        <item x="50"/>
        <item x="76"/>
        <item x="83"/>
        <item x="51"/>
        <item x="77"/>
        <item x="52"/>
        <item x="36"/>
        <item x="21"/>
        <item x="78"/>
        <item x="37"/>
        <item x="79"/>
        <item x="80"/>
        <item x="53"/>
        <item x="68"/>
        <item x="12"/>
        <item x="29"/>
        <item x="38"/>
        <item x="13"/>
        <item x="69"/>
        <item x="6"/>
        <item x="54"/>
        <item x="39"/>
        <item x="14"/>
        <item x="22"/>
        <item x="40"/>
        <item x="41"/>
        <item x="42"/>
        <item x="62"/>
        <item x="55"/>
        <item x="70"/>
        <item x="23"/>
        <item x="63"/>
        <item x="64"/>
        <item x="84"/>
        <item x="56"/>
        <item x="24"/>
        <item x="7"/>
        <item x="30"/>
        <item x="15"/>
        <item x="16"/>
        <item x="25"/>
        <item x="71"/>
        <item x="57"/>
        <item x="17"/>
        <item x="72"/>
        <item x="8"/>
        <item x="26"/>
        <item x="81"/>
        <item x="27"/>
        <item x="43"/>
        <item x="73"/>
        <item x="18"/>
        <item x="58"/>
        <item x="9"/>
        <item x="85"/>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9">
        <item x="0"/>
        <item x="4"/>
        <item x="5"/>
        <item x="6"/>
        <item x="2"/>
        <item x="1"/>
        <item x="7"/>
        <item x="3"/>
        <item t="default"/>
      </items>
    </pivotField>
    <pivotField showAll="0">
      <items count="4">
        <item x="1"/>
        <item x="2"/>
        <item x="0"/>
        <item t="default"/>
      </items>
    </pivotField>
    <pivotField showAll="0"/>
    <pivotField showAll="0"/>
    <pivotField showAll="0"/>
    <pivotField dataField="1" numFmtId="165" showAll="0"/>
    <pivotField showAll="0">
      <items count="15">
        <item x="0"/>
        <item x="1"/>
        <item x="2"/>
        <item x="3"/>
        <item x="4"/>
        <item x="5"/>
        <item x="6"/>
        <item x="7"/>
        <item x="8"/>
        <item x="9"/>
        <item x="10"/>
        <item x="11"/>
        <item x="12"/>
        <item x="13"/>
        <item t="default"/>
      </items>
    </pivotField>
  </pivotFields>
  <rowFields count="1">
    <field x="2"/>
  </rowFields>
  <rowItems count="5">
    <i>
      <x/>
    </i>
    <i>
      <x v="3"/>
    </i>
    <i>
      <x v="1"/>
    </i>
    <i>
      <x v="2"/>
    </i>
    <i t="grand">
      <x/>
    </i>
  </rowItems>
  <colItems count="1">
    <i/>
  </colItems>
  <dataFields count="1">
    <dataField name="Total Revenue" fld="8" baseField="2" baseItem="0" numFmtId="166"/>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951DFD-AE1B-4016-AA0E-CFEED72AF1DC}" name="PivotTable8"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12:H25" firstHeaderRow="1" firstDataRow="1" firstDataCol="1"/>
  <pivotFields count="10">
    <pivotField showAll="0"/>
    <pivotField numFmtId="164" showAll="0">
      <items count="87">
        <item x="10"/>
        <item x="3"/>
        <item x="4"/>
        <item x="19"/>
        <item x="28"/>
        <item x="59"/>
        <item x="44"/>
        <item x="20"/>
        <item x="1"/>
        <item x="47"/>
        <item x="48"/>
        <item x="31"/>
        <item x="32"/>
        <item x="2"/>
        <item x="60"/>
        <item x="75"/>
        <item x="0"/>
        <item x="33"/>
        <item x="45"/>
        <item x="46"/>
        <item x="74"/>
        <item x="61"/>
        <item x="11"/>
        <item x="5"/>
        <item x="82"/>
        <item x="65"/>
        <item x="34"/>
        <item x="66"/>
        <item x="35"/>
        <item x="67"/>
        <item x="49"/>
        <item x="50"/>
        <item x="76"/>
        <item x="83"/>
        <item x="51"/>
        <item x="77"/>
        <item x="52"/>
        <item x="36"/>
        <item x="21"/>
        <item x="78"/>
        <item x="37"/>
        <item x="79"/>
        <item x="80"/>
        <item x="53"/>
        <item x="68"/>
        <item x="12"/>
        <item x="29"/>
        <item x="38"/>
        <item x="13"/>
        <item x="69"/>
        <item x="6"/>
        <item x="54"/>
        <item x="39"/>
        <item x="14"/>
        <item x="22"/>
        <item x="40"/>
        <item x="41"/>
        <item x="42"/>
        <item x="62"/>
        <item x="55"/>
        <item x="70"/>
        <item x="23"/>
        <item x="63"/>
        <item x="64"/>
        <item x="84"/>
        <item x="56"/>
        <item x="24"/>
        <item x="7"/>
        <item x="30"/>
        <item x="15"/>
        <item x="16"/>
        <item x="25"/>
        <item x="71"/>
        <item x="57"/>
        <item x="17"/>
        <item x="72"/>
        <item x="8"/>
        <item x="26"/>
        <item x="81"/>
        <item x="27"/>
        <item x="43"/>
        <item x="73"/>
        <item x="18"/>
        <item x="58"/>
        <item x="9"/>
        <item x="85"/>
        <item t="default"/>
      </items>
    </pivotField>
    <pivotField showAll="0">
      <items count="5">
        <item x="1"/>
        <item x="0"/>
        <item x="3"/>
        <item x="2"/>
        <item t="default"/>
      </items>
    </pivotField>
    <pivotField showAll="0">
      <items count="9">
        <item x="0"/>
        <item x="4"/>
        <item x="5"/>
        <item x="6"/>
        <item x="2"/>
        <item x="1"/>
        <item x="7"/>
        <item x="3"/>
        <item t="default"/>
      </items>
    </pivotField>
    <pivotField showAll="0">
      <items count="4">
        <item x="1"/>
        <item x="2"/>
        <item x="0"/>
        <item t="default"/>
      </items>
    </pivotField>
    <pivotField showAll="0"/>
    <pivotField showAll="0"/>
    <pivotField numFmtId="165" showAll="0"/>
    <pivotField dataField="1" numFmtId="165" showAll="0"/>
    <pivotField axis="axisRow" showAll="0">
      <items count="15">
        <item x="1"/>
        <item x="2"/>
        <item x="3"/>
        <item x="4"/>
        <item x="5"/>
        <item x="6"/>
        <item x="7"/>
        <item x="8"/>
        <item x="9"/>
        <item x="10"/>
        <item x="11"/>
        <item x="12"/>
        <item x="0"/>
        <item x="1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Total_Revenue" fld="8" baseField="9" baseItem="2" numFmtId="166"/>
  </dataField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9" count="1" selected="0">
            <x v="1"/>
          </reference>
        </references>
      </pivotArea>
    </chartFormat>
    <chartFormat chart="5" format="2">
      <pivotArea type="data" outline="0" fieldPosition="0">
        <references count="2">
          <reference field="4294967294" count="1" selected="0">
            <x v="0"/>
          </reference>
          <reference field="9" count="1" selected="0">
            <x v="0"/>
          </reference>
        </references>
      </pivotArea>
    </chartFormat>
    <chartFormat chart="5" format="3">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0DF6EF-5D99-45B2-B079-1BFCA674D7F3}" name="PivotTable7"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J10" firstHeaderRow="0" firstDataRow="1" firstDataCol="1"/>
  <pivotFields count="10">
    <pivotField dataField="1" showAll="0"/>
    <pivotField numFmtId="164" showAll="0">
      <items count="87">
        <item x="10"/>
        <item x="3"/>
        <item x="4"/>
        <item x="19"/>
        <item x="28"/>
        <item x="59"/>
        <item x="44"/>
        <item x="20"/>
        <item x="1"/>
        <item x="47"/>
        <item x="48"/>
        <item x="31"/>
        <item x="32"/>
        <item x="2"/>
        <item x="60"/>
        <item x="75"/>
        <item x="0"/>
        <item x="33"/>
        <item x="45"/>
        <item x="46"/>
        <item x="74"/>
        <item x="61"/>
        <item x="11"/>
        <item x="5"/>
        <item x="82"/>
        <item x="65"/>
        <item x="34"/>
        <item x="66"/>
        <item x="35"/>
        <item x="67"/>
        <item x="49"/>
        <item x="50"/>
        <item x="76"/>
        <item x="83"/>
        <item x="51"/>
        <item x="77"/>
        <item x="52"/>
        <item x="36"/>
        <item x="21"/>
        <item x="78"/>
        <item x="37"/>
        <item x="79"/>
        <item x="80"/>
        <item x="53"/>
        <item x="68"/>
        <item x="12"/>
        <item x="29"/>
        <item x="38"/>
        <item x="13"/>
        <item x="69"/>
        <item x="6"/>
        <item x="54"/>
        <item x="39"/>
        <item x="14"/>
        <item x="22"/>
        <item x="40"/>
        <item x="41"/>
        <item x="42"/>
        <item x="62"/>
        <item x="55"/>
        <item x="70"/>
        <item x="23"/>
        <item x="63"/>
        <item x="64"/>
        <item x="84"/>
        <item x="56"/>
        <item x="24"/>
        <item x="7"/>
        <item x="30"/>
        <item x="15"/>
        <item x="16"/>
        <item x="25"/>
        <item x="71"/>
        <item x="57"/>
        <item x="17"/>
        <item x="72"/>
        <item x="8"/>
        <item x="26"/>
        <item x="81"/>
        <item x="27"/>
        <item x="43"/>
        <item x="73"/>
        <item x="18"/>
        <item x="58"/>
        <item x="9"/>
        <item x="85"/>
        <item t="default"/>
      </items>
    </pivotField>
    <pivotField showAll="0">
      <items count="5">
        <item x="1"/>
        <item x="0"/>
        <item x="3"/>
        <item x="2"/>
        <item t="default"/>
      </items>
    </pivotField>
    <pivotField axis="axisRow" showAll="0" sortType="descending">
      <items count="9">
        <item x="0"/>
        <item x="4"/>
        <item x="5"/>
        <item x="6"/>
        <item x="2"/>
        <item x="1"/>
        <item x="7"/>
        <item x="3"/>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numFmtId="165" showAll="0"/>
    <pivotField dataField="1" numFmtId="165" showAll="0"/>
    <pivotField showAll="0">
      <items count="15">
        <item x="0"/>
        <item x="1"/>
        <item x="2"/>
        <item x="3"/>
        <item x="4"/>
        <item x="5"/>
        <item x="6"/>
        <item x="7"/>
        <item x="8"/>
        <item x="9"/>
        <item x="10"/>
        <item x="11"/>
        <item x="12"/>
        <item x="13"/>
        <item t="default"/>
      </items>
    </pivotField>
  </pivotFields>
  <rowFields count="1">
    <field x="3"/>
  </rowFields>
  <rowItems count="9">
    <i>
      <x v="5"/>
    </i>
    <i>
      <x v="6"/>
    </i>
    <i>
      <x/>
    </i>
    <i>
      <x v="7"/>
    </i>
    <i>
      <x v="3"/>
    </i>
    <i>
      <x v="4"/>
    </i>
    <i>
      <x v="1"/>
    </i>
    <i>
      <x v="2"/>
    </i>
    <i t="grand">
      <x/>
    </i>
  </rowItems>
  <colFields count="1">
    <field x="-2"/>
  </colFields>
  <colItems count="3">
    <i>
      <x/>
    </i>
    <i i="1">
      <x v="1"/>
    </i>
    <i i="2">
      <x v="2"/>
    </i>
  </colItems>
  <dataFields count="3">
    <dataField name="Total Revenue" fld="8" baseField="3" baseItem="5" numFmtId="166"/>
    <dataField name="Avg_OrderValue" fld="8" subtotal="average" baseField="3" baseItem="5" numFmtId="166"/>
    <dataField name="Num_Orders" fld="0" subtotal="count" baseField="3" baseItem="5"/>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58CBC6-CDA3-4429-A686-385C5251B3C5}" name="PivotTable3"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Products">
  <location ref="A9:C20" firstHeaderRow="0" firstDataRow="1" firstDataCol="1"/>
  <pivotFields count="10">
    <pivotField showAll="0"/>
    <pivotField numFmtId="164" showAll="0">
      <items count="87">
        <item x="10"/>
        <item x="3"/>
        <item x="4"/>
        <item x="19"/>
        <item x="28"/>
        <item x="59"/>
        <item x="44"/>
        <item x="20"/>
        <item x="1"/>
        <item x="47"/>
        <item x="48"/>
        <item x="31"/>
        <item x="32"/>
        <item x="2"/>
        <item x="60"/>
        <item x="75"/>
        <item x="0"/>
        <item x="33"/>
        <item x="45"/>
        <item x="46"/>
        <item x="74"/>
        <item x="61"/>
        <item x="11"/>
        <item x="5"/>
        <item x="82"/>
        <item x="65"/>
        <item x="34"/>
        <item x="66"/>
        <item x="35"/>
        <item x="67"/>
        <item x="49"/>
        <item x="50"/>
        <item x="76"/>
        <item x="83"/>
        <item x="51"/>
        <item x="77"/>
        <item x="52"/>
        <item x="36"/>
        <item x="21"/>
        <item x="78"/>
        <item x="37"/>
        <item x="79"/>
        <item x="80"/>
        <item x="53"/>
        <item x="68"/>
        <item x="12"/>
        <item x="29"/>
        <item x="38"/>
        <item x="13"/>
        <item x="69"/>
        <item x="6"/>
        <item x="54"/>
        <item x="39"/>
        <item x="14"/>
        <item x="22"/>
        <item x="40"/>
        <item x="41"/>
        <item x="42"/>
        <item x="62"/>
        <item x="55"/>
        <item x="70"/>
        <item x="23"/>
        <item x="63"/>
        <item x="64"/>
        <item x="84"/>
        <item x="56"/>
        <item x="24"/>
        <item x="7"/>
        <item x="30"/>
        <item x="15"/>
        <item x="16"/>
        <item x="25"/>
        <item x="71"/>
        <item x="57"/>
        <item x="17"/>
        <item x="72"/>
        <item x="8"/>
        <item x="26"/>
        <item x="81"/>
        <item x="27"/>
        <item x="43"/>
        <item x="73"/>
        <item x="18"/>
        <item x="58"/>
        <item x="9"/>
        <item x="85"/>
        <item t="default"/>
      </items>
    </pivotField>
    <pivotField showAll="0">
      <items count="5">
        <item x="1"/>
        <item x="0"/>
        <item x="3"/>
        <item x="2"/>
        <item t="default"/>
      </items>
    </pivotField>
    <pivotField showAll="0">
      <items count="9">
        <item x="0"/>
        <item x="4"/>
        <item x="5"/>
        <item x="6"/>
        <item x="2"/>
        <item x="1"/>
        <item x="7"/>
        <item x="3"/>
        <item t="default"/>
      </items>
    </pivotField>
    <pivotField showAll="0">
      <items count="4">
        <item x="1"/>
        <item x="2"/>
        <item x="0"/>
        <item t="default"/>
      </items>
    </pivotField>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numFmtId="165" showAll="0"/>
    <pivotField dataField="1" numFmtId="165" showAll="0"/>
    <pivotField showAll="0">
      <items count="15">
        <item x="0"/>
        <item x="1"/>
        <item x="2"/>
        <item x="3"/>
        <item x="4"/>
        <item x="5"/>
        <item x="6"/>
        <item x="7"/>
        <item x="8"/>
        <item x="9"/>
        <item x="10"/>
        <item x="11"/>
        <item x="12"/>
        <item x="13"/>
        <item t="default"/>
      </items>
    </pivotField>
  </pivotFields>
  <rowFields count="1">
    <field x="5"/>
  </rowFields>
  <rowItems count="11">
    <i>
      <x v="5"/>
    </i>
    <i>
      <x v="1"/>
    </i>
    <i>
      <x/>
    </i>
    <i>
      <x v="6"/>
    </i>
    <i>
      <x v="4"/>
    </i>
    <i>
      <x v="2"/>
    </i>
    <i>
      <x v="3"/>
    </i>
    <i>
      <x v="7"/>
    </i>
    <i>
      <x v="9"/>
    </i>
    <i>
      <x v="8"/>
    </i>
    <i t="grand">
      <x/>
    </i>
  </rowItems>
  <colFields count="1">
    <field x="-2"/>
  </colFields>
  <colItems count="2">
    <i>
      <x/>
    </i>
    <i i="1">
      <x v="1"/>
    </i>
  </colItems>
  <dataFields count="2">
    <dataField name="Total Revenue" fld="8" baseField="5" baseItem="0" numFmtId="166"/>
    <dataField name="Sum of Quantity" fld="6" baseField="0" baseItem="0"/>
  </dataFields>
  <chartFormats count="2">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8FC0F3-75E6-45BF-81C6-DEFE17D87CFB}" name="PivotTable4"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s">
  <location ref="A22:B33" firstHeaderRow="1" firstDataRow="1" firstDataCol="1"/>
  <pivotFields count="10">
    <pivotField showAll="0"/>
    <pivotField numFmtId="164" showAll="0">
      <items count="87">
        <item x="10"/>
        <item x="3"/>
        <item x="4"/>
        <item x="19"/>
        <item x="28"/>
        <item x="59"/>
        <item x="44"/>
        <item x="20"/>
        <item x="1"/>
        <item x="47"/>
        <item x="48"/>
        <item x="31"/>
        <item x="32"/>
        <item x="2"/>
        <item x="60"/>
        <item x="75"/>
        <item x="0"/>
        <item x="33"/>
        <item x="45"/>
        <item x="46"/>
        <item x="74"/>
        <item x="61"/>
        <item x="11"/>
        <item x="5"/>
        <item x="82"/>
        <item x="65"/>
        <item x="34"/>
        <item x="66"/>
        <item x="35"/>
        <item x="67"/>
        <item x="49"/>
        <item x="50"/>
        <item x="76"/>
        <item x="83"/>
        <item x="51"/>
        <item x="77"/>
        <item x="52"/>
        <item x="36"/>
        <item x="21"/>
        <item x="78"/>
        <item x="37"/>
        <item x="79"/>
        <item x="80"/>
        <item x="53"/>
        <item x="68"/>
        <item x="12"/>
        <item x="29"/>
        <item x="38"/>
        <item x="13"/>
        <item x="69"/>
        <item x="6"/>
        <item x="54"/>
        <item x="39"/>
        <item x="14"/>
        <item x="22"/>
        <item x="40"/>
        <item x="41"/>
        <item x="42"/>
        <item x="62"/>
        <item x="55"/>
        <item x="70"/>
        <item x="23"/>
        <item x="63"/>
        <item x="64"/>
        <item x="84"/>
        <item x="56"/>
        <item x="24"/>
        <item x="7"/>
        <item x="30"/>
        <item x="15"/>
        <item x="16"/>
        <item x="25"/>
        <item x="71"/>
        <item x="57"/>
        <item x="17"/>
        <item x="72"/>
        <item x="8"/>
        <item x="26"/>
        <item x="81"/>
        <item x="27"/>
        <item x="43"/>
        <item x="73"/>
        <item x="18"/>
        <item x="58"/>
        <item x="9"/>
        <item x="85"/>
        <item t="default"/>
      </items>
    </pivotField>
    <pivotField showAll="0">
      <items count="5">
        <item x="1"/>
        <item x="0"/>
        <item x="3"/>
        <item x="2"/>
        <item t="default"/>
      </items>
    </pivotField>
    <pivotField showAll="0">
      <items count="9">
        <item x="0"/>
        <item x="4"/>
        <item x="5"/>
        <item x="6"/>
        <item x="2"/>
        <item x="1"/>
        <item x="7"/>
        <item x="3"/>
        <item t="default"/>
      </items>
    </pivotField>
    <pivotField showAll="0">
      <items count="4">
        <item x="1"/>
        <item x="2"/>
        <item x="0"/>
        <item t="default"/>
      </items>
    </pivotField>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numFmtId="165" showAll="0"/>
    <pivotField numFmtId="165" showAll="0"/>
    <pivotField showAll="0">
      <items count="15">
        <item x="0"/>
        <item x="1"/>
        <item x="2"/>
        <item x="3"/>
        <item x="4"/>
        <item x="5"/>
        <item x="6"/>
        <item x="7"/>
        <item x="8"/>
        <item x="9"/>
        <item x="10"/>
        <item x="11"/>
        <item x="12"/>
        <item x="13"/>
        <item t="default"/>
      </items>
    </pivotField>
  </pivotFields>
  <rowFields count="1">
    <field x="5"/>
  </rowFields>
  <rowItems count="11">
    <i>
      <x v="4"/>
    </i>
    <i>
      <x v="5"/>
    </i>
    <i>
      <x v="7"/>
    </i>
    <i>
      <x v="8"/>
    </i>
    <i>
      <x/>
    </i>
    <i>
      <x v="2"/>
    </i>
    <i>
      <x v="6"/>
    </i>
    <i>
      <x v="1"/>
    </i>
    <i>
      <x v="3"/>
    </i>
    <i>
      <x v="9"/>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6EF0D8C-EB8B-4149-8CB5-4608EE73056A}" sourceName="Product_Category">
  <pivotTables>
    <pivotTable tabId="4" name="PivotTable2"/>
    <pivotTable tabId="4" name="PivotTable3"/>
    <pivotTable tabId="4" name="PivotTable4"/>
    <pivotTable tabId="4" name="PivotTable7"/>
    <pivotTable tabId="4" name="PivotTable8"/>
  </pivotTables>
  <data>
    <tabular pivotCacheId="62775275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9164E1-2203-406A-9387-A1268A46A5D7}" sourceName="Region">
  <pivotTables>
    <pivotTable tabId="4" name="PivotTable2"/>
    <pivotTable tabId="4" name="PivotTable3"/>
    <pivotTable tabId="4" name="PivotTable4"/>
    <pivotTable tabId="4" name="PivotTable7"/>
    <pivotTable tabId="4" name="PivotTable8"/>
  </pivotTables>
  <data>
    <tabular pivotCacheId="627752753">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D0BCA4C0-BB9F-48A2-BBFC-0D53E61C5A4E}" sourceName="Salesperson">
  <pivotTables>
    <pivotTable tabId="4" name="PivotTable2"/>
    <pivotTable tabId="4" name="PivotTable3"/>
    <pivotTable tabId="4" name="PivotTable4"/>
    <pivotTable tabId="4" name="PivotTable7"/>
    <pivotTable tabId="4" name="PivotTable8"/>
  </pivotTables>
  <data>
    <tabular pivotCacheId="627752753">
      <items count="8">
        <i x="0" s="1"/>
        <i x="4" s="1"/>
        <i x="5" s="1"/>
        <i x="6" s="1"/>
        <i x="2" s="1"/>
        <i x="1"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EB24C3D9-46E1-4346-9C8F-7F25B7105B5D}" cache="Slicer_Product_Category" caption="Product_Category" rowHeight="247650"/>
  <slicer name="Region" xr10:uid="{7265F3D4-9641-4860-AED9-4D8DB2A5ABAA}" cache="Slicer_Region" caption="Region" rowHeight="247650"/>
  <slicer name="Salesperson" xr10:uid="{03DCE436-BED2-4627-A5AB-F4BD74FC7A35}" cache="Slicer_Salesperson" caption="Salespers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8F6B4-DDD6-41FA-9A80-111CC3DF03D5}">
  <sheetPr>
    <pageSetUpPr autoPageBreaks="0"/>
  </sheetPr>
  <dimension ref="A1:H5"/>
  <sheetViews>
    <sheetView showGridLines="0" tabSelected="1" zoomScaleNormal="100" zoomScaleSheetLayoutView="100" workbookViewId="0">
      <selection activeCell="M24" sqref="M24"/>
    </sheetView>
  </sheetViews>
  <sheetFormatPr defaultRowHeight="14.4" x14ac:dyDescent="0.3"/>
  <cols>
    <col min="1" max="1" width="12.44140625" bestFit="1" customWidth="1"/>
    <col min="2" max="2" width="12.88671875" bestFit="1" customWidth="1"/>
    <col min="3" max="3" width="14.21875" bestFit="1" customWidth="1"/>
    <col min="4" max="4" width="11.44140625" bestFit="1" customWidth="1"/>
    <col min="5" max="5" width="14.21875" bestFit="1" customWidth="1"/>
    <col min="6" max="6" width="9.77734375" bestFit="1" customWidth="1"/>
    <col min="7" max="7" width="9.109375" bestFit="1" customWidth="1"/>
    <col min="8" max="8" width="12.77734375" bestFit="1" customWidth="1"/>
    <col min="9" max="11" width="8.6640625" bestFit="1" customWidth="1"/>
    <col min="12" max="12" width="9.109375" bestFit="1" customWidth="1"/>
    <col min="13" max="15" width="8.6640625" bestFit="1" customWidth="1"/>
    <col min="16" max="17" width="9.109375" bestFit="1" customWidth="1"/>
    <col min="18" max="26" width="8.6640625" bestFit="1" customWidth="1"/>
    <col min="27" max="27" width="9.109375" bestFit="1" customWidth="1"/>
    <col min="28" max="28" width="8.6640625" bestFit="1" customWidth="1"/>
    <col min="29" max="29" width="9.109375" bestFit="1" customWidth="1"/>
    <col min="30" max="33" width="8.6640625" bestFit="1" customWidth="1"/>
    <col min="34" max="34" width="9.109375" bestFit="1" customWidth="1"/>
    <col min="35" max="35" width="8.6640625" bestFit="1" customWidth="1"/>
    <col min="36" max="38" width="9.109375" bestFit="1" customWidth="1"/>
    <col min="39" max="46" width="8.6640625" bestFit="1" customWidth="1"/>
    <col min="47" max="48" width="9.109375" bestFit="1" customWidth="1"/>
    <col min="49" max="49" width="8.6640625" bestFit="1" customWidth="1"/>
    <col min="50" max="50" width="9.109375" bestFit="1" customWidth="1"/>
    <col min="51" max="51" width="8.6640625" bestFit="1" customWidth="1"/>
    <col min="52" max="52" width="9.109375" bestFit="1" customWidth="1"/>
    <col min="53" max="54" width="8.6640625" bestFit="1" customWidth="1"/>
    <col min="55" max="55" width="9.109375" bestFit="1" customWidth="1"/>
    <col min="56" max="56" width="8.6640625" bestFit="1" customWidth="1"/>
    <col min="57" max="57" width="9.109375" bestFit="1" customWidth="1"/>
    <col min="58" max="58" width="8.6640625" bestFit="1" customWidth="1"/>
    <col min="59" max="59" width="9.109375" bestFit="1" customWidth="1"/>
    <col min="60" max="65" width="8.6640625" bestFit="1" customWidth="1"/>
    <col min="66" max="66" width="9.109375" bestFit="1" customWidth="1"/>
    <col min="67" max="75" width="8.6640625" bestFit="1" customWidth="1"/>
    <col min="76" max="76" width="9.109375" bestFit="1" customWidth="1"/>
    <col min="77" max="80" width="8.6640625" bestFit="1" customWidth="1"/>
    <col min="81" max="81" width="9.109375" bestFit="1" customWidth="1"/>
    <col min="82" max="82" width="8.6640625" bestFit="1" customWidth="1"/>
    <col min="83" max="83" width="9.109375" bestFit="1" customWidth="1"/>
    <col min="84" max="88" width="8.6640625" bestFit="1" customWidth="1"/>
    <col min="89" max="89" width="9.109375" bestFit="1" customWidth="1"/>
    <col min="90" max="92" width="8.6640625" bestFit="1" customWidth="1"/>
    <col min="93" max="93" width="9.109375" bestFit="1" customWidth="1"/>
    <col min="94" max="95" width="8.6640625" bestFit="1" customWidth="1"/>
    <col min="96" max="96" width="9.109375" bestFit="1" customWidth="1"/>
    <col min="97" max="100" width="8.6640625" bestFit="1" customWidth="1"/>
    <col min="101" max="101" width="9.109375" bestFit="1" customWidth="1"/>
    <col min="102" max="102" width="10.5546875" bestFit="1" customWidth="1"/>
  </cols>
  <sheetData>
    <row r="1" spans="1:8" ht="25.8" x14ac:dyDescent="0.5">
      <c r="A1" s="7" t="s">
        <v>138</v>
      </c>
      <c r="B1" s="7"/>
      <c r="C1" s="7"/>
      <c r="D1" s="7"/>
      <c r="E1" s="7"/>
      <c r="F1" s="7"/>
      <c r="G1" s="7"/>
      <c r="H1" s="7"/>
    </row>
    <row r="2" spans="1:8" ht="15.6" x14ac:dyDescent="0.3">
      <c r="A2" s="8" t="s">
        <v>139</v>
      </c>
      <c r="B2" s="8"/>
      <c r="C2" s="8"/>
      <c r="D2" s="8"/>
      <c r="E2" s="8"/>
      <c r="F2" s="8"/>
      <c r="G2" s="8"/>
      <c r="H2" s="8"/>
    </row>
    <row r="3" spans="1:8" ht="15" thickBot="1" x14ac:dyDescent="0.35">
      <c r="A3" s="6"/>
    </row>
    <row r="4" spans="1:8" x14ac:dyDescent="0.3">
      <c r="B4" s="9" t="s">
        <v>134</v>
      </c>
      <c r="C4" s="10"/>
      <c r="D4" s="10" t="s">
        <v>135</v>
      </c>
      <c r="E4" s="10"/>
      <c r="F4" s="10" t="s">
        <v>140</v>
      </c>
      <c r="G4" s="10"/>
      <c r="H4" s="11" t="s">
        <v>141</v>
      </c>
    </row>
    <row r="5" spans="1:8" ht="21.6" thickBot="1" x14ac:dyDescent="0.45">
      <c r="B5" s="12">
        <f>Calculations!B1</f>
        <v>84109.36</v>
      </c>
      <c r="C5" s="13"/>
      <c r="D5" s="13">
        <f>Calculations!B2</f>
        <v>100</v>
      </c>
      <c r="E5" s="13"/>
      <c r="F5" s="14">
        <f>Calculations!B3</f>
        <v>841.09360000000004</v>
      </c>
      <c r="G5" s="13"/>
      <c r="H5" s="15">
        <f>Calculations!B4</f>
        <v>326</v>
      </c>
    </row>
  </sheetData>
  <mergeCells count="2">
    <mergeCell ref="A1:H1"/>
    <mergeCell ref="A2:H2"/>
  </mergeCells>
  <pageMargins left="0.7" right="0.7" top="0.75" bottom="0.75" header="0.3" footer="0.3"/>
  <pageSetup scale="70" fitToWidth="0" fitToHeight="0"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392A0-4D1B-4F61-B93E-7657EE28E6E1}">
  <dimension ref="A1:J33"/>
  <sheetViews>
    <sheetView workbookViewId="0">
      <selection sqref="A1:B6"/>
    </sheetView>
  </sheetViews>
  <sheetFormatPr defaultRowHeight="14.4" x14ac:dyDescent="0.3"/>
  <cols>
    <col min="1" max="1" width="11.21875" bestFit="1" customWidth="1"/>
    <col min="2" max="3" width="14.21875" bestFit="1" customWidth="1"/>
    <col min="5" max="5" width="14.21875" bestFit="1" customWidth="1"/>
    <col min="7" max="7" width="12.44140625" bestFit="1" customWidth="1"/>
    <col min="8" max="8" width="12.88671875" bestFit="1" customWidth="1"/>
    <col min="9" max="9" width="14.21875" bestFit="1" customWidth="1"/>
    <col min="10" max="10" width="11.44140625" bestFit="1" customWidth="1"/>
  </cols>
  <sheetData>
    <row r="1" spans="1:10" x14ac:dyDescent="0.3">
      <c r="A1" s="16" t="s">
        <v>144</v>
      </c>
      <c r="B1" t="s">
        <v>134</v>
      </c>
      <c r="G1" s="16" t="s">
        <v>142</v>
      </c>
      <c r="H1" t="s">
        <v>134</v>
      </c>
      <c r="I1" t="s">
        <v>148</v>
      </c>
      <c r="J1" t="s">
        <v>147</v>
      </c>
    </row>
    <row r="2" spans="1:10" x14ac:dyDescent="0.3">
      <c r="A2" s="17" t="s">
        <v>15</v>
      </c>
      <c r="B2" s="18">
        <v>25431.580000000005</v>
      </c>
      <c r="G2" s="17" t="s">
        <v>19</v>
      </c>
      <c r="H2" s="18">
        <v>16462.78</v>
      </c>
      <c r="I2" s="18">
        <v>1097.5186666666666</v>
      </c>
      <c r="J2" s="19">
        <v>15</v>
      </c>
    </row>
    <row r="3" spans="1:10" x14ac:dyDescent="0.3">
      <c r="A3" s="17" t="s">
        <v>23</v>
      </c>
      <c r="B3" s="18">
        <v>25096.720000000001</v>
      </c>
      <c r="G3" s="17" t="s">
        <v>42</v>
      </c>
      <c r="H3" s="18">
        <v>13822.819999999998</v>
      </c>
      <c r="I3" s="18">
        <v>1256.6199999999999</v>
      </c>
      <c r="J3" s="19">
        <v>11</v>
      </c>
    </row>
    <row r="4" spans="1:10" x14ac:dyDescent="0.3">
      <c r="A4" s="17" t="s">
        <v>10</v>
      </c>
      <c r="B4" s="18">
        <v>18929.649999999998</v>
      </c>
      <c r="G4" s="17" t="s">
        <v>29</v>
      </c>
      <c r="H4" s="18">
        <v>13066.84</v>
      </c>
      <c r="I4" s="18">
        <v>1187.8945454545456</v>
      </c>
      <c r="J4" s="19">
        <v>11</v>
      </c>
    </row>
    <row r="5" spans="1:10" x14ac:dyDescent="0.3">
      <c r="A5" s="17" t="s">
        <v>26</v>
      </c>
      <c r="B5" s="18">
        <v>14651.41</v>
      </c>
      <c r="G5" s="17" t="s">
        <v>24</v>
      </c>
      <c r="H5" s="18">
        <v>11273.9</v>
      </c>
      <c r="I5" s="18">
        <v>1252.6555555555556</v>
      </c>
      <c r="J5" s="19">
        <v>9</v>
      </c>
    </row>
    <row r="6" spans="1:10" x14ac:dyDescent="0.3">
      <c r="A6" s="17" t="s">
        <v>143</v>
      </c>
      <c r="B6" s="18">
        <v>84109.36</v>
      </c>
      <c r="G6" s="17" t="s">
        <v>27</v>
      </c>
      <c r="H6" s="18">
        <v>10701.63</v>
      </c>
      <c r="I6" s="18">
        <v>629.50764705882352</v>
      </c>
      <c r="J6" s="19">
        <v>17</v>
      </c>
    </row>
    <row r="7" spans="1:10" x14ac:dyDescent="0.3">
      <c r="G7" s="17" t="s">
        <v>16</v>
      </c>
      <c r="H7" s="18">
        <v>8968.7999999999975</v>
      </c>
      <c r="I7" s="18">
        <v>560.54999999999984</v>
      </c>
      <c r="J7" s="19">
        <v>16</v>
      </c>
    </row>
    <row r="8" spans="1:10" x14ac:dyDescent="0.3">
      <c r="G8" s="17" t="s">
        <v>11</v>
      </c>
      <c r="H8" s="18">
        <v>5862.81</v>
      </c>
      <c r="I8" s="18">
        <v>532.98272727272729</v>
      </c>
      <c r="J8" s="19">
        <v>11</v>
      </c>
    </row>
    <row r="9" spans="1:10" x14ac:dyDescent="0.3">
      <c r="A9" s="16" t="s">
        <v>145</v>
      </c>
      <c r="B9" t="s">
        <v>134</v>
      </c>
      <c r="C9" t="s">
        <v>146</v>
      </c>
      <c r="G9" s="17" t="s">
        <v>58</v>
      </c>
      <c r="H9" s="18">
        <v>3949.7799999999988</v>
      </c>
      <c r="I9" s="18">
        <v>394.97799999999989</v>
      </c>
      <c r="J9" s="19">
        <v>10</v>
      </c>
    </row>
    <row r="10" spans="1:10" x14ac:dyDescent="0.3">
      <c r="A10" s="17" t="s">
        <v>35</v>
      </c>
      <c r="B10" s="18">
        <v>46628.89</v>
      </c>
      <c r="C10" s="19">
        <v>46</v>
      </c>
      <c r="G10" s="17" t="s">
        <v>143</v>
      </c>
      <c r="H10" s="18">
        <v>84109.36000000003</v>
      </c>
      <c r="I10" s="18">
        <v>841.09360000000027</v>
      </c>
      <c r="J10" s="19">
        <v>100</v>
      </c>
    </row>
    <row r="11" spans="1:10" x14ac:dyDescent="0.3">
      <c r="A11" s="17" t="s">
        <v>13</v>
      </c>
      <c r="B11" s="18">
        <v>11901.869999999999</v>
      </c>
      <c r="C11" s="19">
        <v>29</v>
      </c>
    </row>
    <row r="12" spans="1:10" x14ac:dyDescent="0.3">
      <c r="A12" s="17" t="s">
        <v>17</v>
      </c>
      <c r="B12" s="18">
        <v>8551.77</v>
      </c>
      <c r="C12" s="19">
        <v>34</v>
      </c>
      <c r="G12" s="16" t="s">
        <v>142</v>
      </c>
      <c r="H12" t="s">
        <v>161</v>
      </c>
    </row>
    <row r="13" spans="1:10" x14ac:dyDescent="0.3">
      <c r="A13" s="17" t="s">
        <v>33</v>
      </c>
      <c r="B13" s="18">
        <v>8309.86</v>
      </c>
      <c r="C13" s="19">
        <v>30</v>
      </c>
      <c r="G13" s="17" t="s">
        <v>149</v>
      </c>
      <c r="H13" s="18">
        <v>7200.7799999999988</v>
      </c>
    </row>
    <row r="14" spans="1:10" x14ac:dyDescent="0.3">
      <c r="A14" s="17" t="s">
        <v>44</v>
      </c>
      <c r="B14" s="18">
        <v>2423.6799999999998</v>
      </c>
      <c r="C14" s="19">
        <v>52</v>
      </c>
      <c r="G14" s="17" t="s">
        <v>150</v>
      </c>
      <c r="H14" s="18">
        <v>17779.84</v>
      </c>
    </row>
    <row r="15" spans="1:10" x14ac:dyDescent="0.3">
      <c r="A15" s="17" t="s">
        <v>21</v>
      </c>
      <c r="B15" s="18">
        <v>2135.7800000000002</v>
      </c>
      <c r="C15" s="19">
        <v>32</v>
      </c>
      <c r="G15" s="17" t="s">
        <v>151</v>
      </c>
      <c r="H15" s="18">
        <v>7528.88</v>
      </c>
    </row>
    <row r="16" spans="1:10" x14ac:dyDescent="0.3">
      <c r="A16" s="17" t="s">
        <v>31</v>
      </c>
      <c r="B16" s="18">
        <v>1657.96</v>
      </c>
      <c r="C16" s="19">
        <v>18</v>
      </c>
      <c r="G16" s="17" t="s">
        <v>152</v>
      </c>
      <c r="H16" s="18">
        <v>9735.8599999999988</v>
      </c>
    </row>
    <row r="17" spans="1:8" x14ac:dyDescent="0.3">
      <c r="A17" s="17" t="s">
        <v>64</v>
      </c>
      <c r="B17" s="18">
        <v>1203.82</v>
      </c>
      <c r="C17" s="19">
        <v>39</v>
      </c>
      <c r="G17" s="17" t="s">
        <v>153</v>
      </c>
      <c r="H17" s="18">
        <v>11185.859999999997</v>
      </c>
    </row>
    <row r="18" spans="1:8" x14ac:dyDescent="0.3">
      <c r="A18" s="17" t="s">
        <v>62</v>
      </c>
      <c r="B18" s="18">
        <v>858.97</v>
      </c>
      <c r="C18" s="19">
        <v>11</v>
      </c>
      <c r="G18" s="17" t="s">
        <v>154</v>
      </c>
      <c r="H18" s="18">
        <v>353.90999999999997</v>
      </c>
    </row>
    <row r="19" spans="1:8" x14ac:dyDescent="0.3">
      <c r="A19" s="17" t="s">
        <v>49</v>
      </c>
      <c r="B19" s="18">
        <v>436.76</v>
      </c>
      <c r="C19" s="19">
        <v>35</v>
      </c>
      <c r="G19" s="17" t="s">
        <v>155</v>
      </c>
      <c r="H19" s="18">
        <v>2553.98</v>
      </c>
    </row>
    <row r="20" spans="1:8" x14ac:dyDescent="0.3">
      <c r="A20" s="17" t="s">
        <v>143</v>
      </c>
      <c r="B20" s="18">
        <v>84109.36</v>
      </c>
      <c r="C20" s="19">
        <v>326</v>
      </c>
      <c r="G20" s="17" t="s">
        <v>156</v>
      </c>
      <c r="H20" s="18">
        <v>10410.569999999998</v>
      </c>
    </row>
    <row r="21" spans="1:8" x14ac:dyDescent="0.3">
      <c r="G21" s="17" t="s">
        <v>157</v>
      </c>
      <c r="H21" s="18">
        <v>5547.9000000000005</v>
      </c>
    </row>
    <row r="22" spans="1:8" x14ac:dyDescent="0.3">
      <c r="A22" s="16" t="s">
        <v>145</v>
      </c>
      <c r="B22" t="s">
        <v>146</v>
      </c>
      <c r="G22" s="17" t="s">
        <v>158</v>
      </c>
      <c r="H22" s="18">
        <v>4893.95</v>
      </c>
    </row>
    <row r="23" spans="1:8" x14ac:dyDescent="0.3">
      <c r="A23" s="17" t="s">
        <v>44</v>
      </c>
      <c r="B23" s="19">
        <v>52</v>
      </c>
      <c r="G23" s="17" t="s">
        <v>159</v>
      </c>
      <c r="H23" s="18">
        <v>1389.8700000000001</v>
      </c>
    </row>
    <row r="24" spans="1:8" x14ac:dyDescent="0.3">
      <c r="A24" s="17" t="s">
        <v>35</v>
      </c>
      <c r="B24" s="19">
        <v>46</v>
      </c>
      <c r="G24" s="17" t="s">
        <v>160</v>
      </c>
      <c r="H24" s="18">
        <v>5527.96</v>
      </c>
    </row>
    <row r="25" spans="1:8" x14ac:dyDescent="0.3">
      <c r="A25" s="17" t="s">
        <v>64</v>
      </c>
      <c r="B25" s="19">
        <v>39</v>
      </c>
      <c r="G25" s="17" t="s">
        <v>143</v>
      </c>
      <c r="H25" s="18">
        <v>84109.36</v>
      </c>
    </row>
    <row r="26" spans="1:8" x14ac:dyDescent="0.3">
      <c r="A26" s="17" t="s">
        <v>49</v>
      </c>
      <c r="B26" s="19">
        <v>35</v>
      </c>
    </row>
    <row r="27" spans="1:8" x14ac:dyDescent="0.3">
      <c r="A27" s="17" t="s">
        <v>17</v>
      </c>
      <c r="B27" s="19">
        <v>34</v>
      </c>
    </row>
    <row r="28" spans="1:8" x14ac:dyDescent="0.3">
      <c r="A28" s="17" t="s">
        <v>21</v>
      </c>
      <c r="B28" s="19">
        <v>32</v>
      </c>
    </row>
    <row r="29" spans="1:8" x14ac:dyDescent="0.3">
      <c r="A29" s="17" t="s">
        <v>33</v>
      </c>
      <c r="B29" s="19">
        <v>30</v>
      </c>
    </row>
    <row r="30" spans="1:8" x14ac:dyDescent="0.3">
      <c r="A30" s="17" t="s">
        <v>13</v>
      </c>
      <c r="B30" s="19">
        <v>29</v>
      </c>
    </row>
    <row r="31" spans="1:8" x14ac:dyDescent="0.3">
      <c r="A31" s="17" t="s">
        <v>31</v>
      </c>
      <c r="B31" s="19">
        <v>18</v>
      </c>
    </row>
    <row r="32" spans="1:8" x14ac:dyDescent="0.3">
      <c r="A32" s="17" t="s">
        <v>62</v>
      </c>
      <c r="B32" s="19">
        <v>11</v>
      </c>
    </row>
    <row r="33" spans="1:2" x14ac:dyDescent="0.3">
      <c r="A33" s="17" t="s">
        <v>143</v>
      </c>
      <c r="B33" s="19">
        <v>326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2C59-C5A4-4D99-A06E-F946172E2BDE}">
  <dimension ref="A1:J102"/>
  <sheetViews>
    <sheetView topLeftCell="A72" workbookViewId="0">
      <selection activeCell="B75" sqref="B75"/>
    </sheetView>
  </sheetViews>
  <sheetFormatPr defaultRowHeight="14.4" x14ac:dyDescent="0.3"/>
  <cols>
    <col min="1" max="1" width="8.6640625" bestFit="1" customWidth="1"/>
    <col min="2" max="2" width="10.33203125" bestFit="1" customWidth="1"/>
    <col min="3" max="3" width="6.77734375" bestFit="1" customWidth="1"/>
    <col min="4" max="4" width="11" bestFit="1" customWidth="1"/>
    <col min="5" max="5" width="16.33203125" bestFit="1" customWidth="1"/>
    <col min="6" max="6" width="13.77734375" bestFit="1" customWidth="1"/>
    <col min="7" max="7" width="8.33203125" bestFit="1" customWidth="1"/>
    <col min="8" max="8" width="9.6640625" bestFit="1" customWidth="1"/>
    <col min="9" max="9" width="11" bestFit="1" customWidth="1"/>
    <col min="13" max="13" width="12.44140625" bestFit="1" customWidth="1"/>
    <col min="14" max="14" width="18" bestFit="1" customWidth="1"/>
  </cols>
  <sheetData>
    <row r="1" spans="1:10" x14ac:dyDescent="0.3">
      <c r="A1" s="1" t="s">
        <v>0</v>
      </c>
      <c r="B1" s="1" t="s">
        <v>1</v>
      </c>
      <c r="C1" s="20" t="s">
        <v>2</v>
      </c>
      <c r="D1" s="1" t="s">
        <v>3</v>
      </c>
      <c r="E1" s="1" t="s">
        <v>4</v>
      </c>
      <c r="F1" s="1" t="s">
        <v>5</v>
      </c>
      <c r="G1" s="1" t="s">
        <v>6</v>
      </c>
      <c r="H1" s="1" t="s">
        <v>7</v>
      </c>
      <c r="I1" s="1" t="s">
        <v>8</v>
      </c>
      <c r="J1" s="1"/>
    </row>
    <row r="2" spans="1:10" x14ac:dyDescent="0.3">
      <c r="A2" t="s">
        <v>50</v>
      </c>
      <c r="B2" s="2">
        <v>45710</v>
      </c>
      <c r="C2" t="s">
        <v>10</v>
      </c>
      <c r="D2" t="s">
        <v>29</v>
      </c>
      <c r="E2" t="s">
        <v>12</v>
      </c>
      <c r="F2" t="s">
        <v>17</v>
      </c>
      <c r="G2">
        <v>2</v>
      </c>
      <c r="H2" s="3">
        <v>212</v>
      </c>
      <c r="I2" s="3">
        <v>424</v>
      </c>
    </row>
    <row r="3" spans="1:10" x14ac:dyDescent="0.3">
      <c r="A3" t="s">
        <v>38</v>
      </c>
      <c r="B3" s="2">
        <v>45690</v>
      </c>
      <c r="C3" t="s">
        <v>15</v>
      </c>
      <c r="D3" t="s">
        <v>19</v>
      </c>
      <c r="E3" t="s">
        <v>12</v>
      </c>
      <c r="F3" t="s">
        <v>17</v>
      </c>
      <c r="G3">
        <v>2</v>
      </c>
      <c r="H3" s="3">
        <v>180</v>
      </c>
      <c r="I3" s="3">
        <v>360</v>
      </c>
    </row>
    <row r="4" spans="1:10" x14ac:dyDescent="0.3">
      <c r="A4" t="s">
        <v>46</v>
      </c>
      <c r="B4" s="2">
        <v>45698</v>
      </c>
      <c r="C4" t="s">
        <v>15</v>
      </c>
      <c r="D4" t="s">
        <v>16</v>
      </c>
      <c r="E4" t="s">
        <v>12</v>
      </c>
      <c r="F4" t="s">
        <v>17</v>
      </c>
      <c r="G4">
        <v>4</v>
      </c>
      <c r="H4" s="3">
        <v>287</v>
      </c>
      <c r="I4" s="3">
        <v>1148</v>
      </c>
    </row>
    <row r="5" spans="1:10" x14ac:dyDescent="0.3">
      <c r="A5" t="s">
        <v>14</v>
      </c>
      <c r="B5" s="2">
        <v>45662</v>
      </c>
      <c r="C5" t="s">
        <v>15</v>
      </c>
      <c r="D5" t="s">
        <v>16</v>
      </c>
      <c r="E5" t="s">
        <v>12</v>
      </c>
      <c r="F5" t="s">
        <v>17</v>
      </c>
      <c r="G5">
        <v>5</v>
      </c>
      <c r="H5" s="3">
        <v>291.99</v>
      </c>
      <c r="I5" s="3">
        <v>1459.95</v>
      </c>
    </row>
    <row r="6" spans="1:10" x14ac:dyDescent="0.3">
      <c r="A6" t="s">
        <v>22</v>
      </c>
      <c r="B6" s="2">
        <v>45663</v>
      </c>
      <c r="C6" t="s">
        <v>23</v>
      </c>
      <c r="D6" t="s">
        <v>24</v>
      </c>
      <c r="E6" t="s">
        <v>12</v>
      </c>
      <c r="F6" t="s">
        <v>17</v>
      </c>
      <c r="G6">
        <v>5</v>
      </c>
      <c r="H6" s="3">
        <v>285.99</v>
      </c>
      <c r="I6" s="3">
        <v>1429.95</v>
      </c>
    </row>
    <row r="7" spans="1:10" x14ac:dyDescent="0.3">
      <c r="A7" t="s">
        <v>60</v>
      </c>
      <c r="B7" s="2">
        <v>45738</v>
      </c>
      <c r="C7" t="s">
        <v>10</v>
      </c>
      <c r="D7" t="s">
        <v>11</v>
      </c>
      <c r="E7" t="s">
        <v>12</v>
      </c>
      <c r="F7" t="s">
        <v>17</v>
      </c>
      <c r="G7">
        <v>4</v>
      </c>
      <c r="H7" s="3">
        <v>178.99</v>
      </c>
      <c r="I7" s="3">
        <v>715.96</v>
      </c>
    </row>
    <row r="8" spans="1:10" x14ac:dyDescent="0.3">
      <c r="A8" t="s">
        <v>93</v>
      </c>
      <c r="B8" s="2">
        <v>45873</v>
      </c>
      <c r="C8" t="s">
        <v>15</v>
      </c>
      <c r="D8" t="s">
        <v>19</v>
      </c>
      <c r="E8" t="s">
        <v>12</v>
      </c>
      <c r="F8" t="s">
        <v>17</v>
      </c>
      <c r="G8">
        <v>1</v>
      </c>
      <c r="H8" s="3">
        <v>167.99</v>
      </c>
      <c r="I8" s="3">
        <v>167.99</v>
      </c>
    </row>
    <row r="9" spans="1:10" x14ac:dyDescent="0.3">
      <c r="A9" t="s">
        <v>114</v>
      </c>
      <c r="B9" s="2">
        <v>45928</v>
      </c>
      <c r="C9" t="s">
        <v>26</v>
      </c>
      <c r="D9" t="s">
        <v>58</v>
      </c>
      <c r="E9" t="s">
        <v>12</v>
      </c>
      <c r="F9" t="s">
        <v>17</v>
      </c>
      <c r="G9">
        <v>3</v>
      </c>
      <c r="H9" s="3">
        <v>290</v>
      </c>
      <c r="I9" s="3">
        <v>870</v>
      </c>
    </row>
    <row r="10" spans="1:10" x14ac:dyDescent="0.3">
      <c r="A10" t="s">
        <v>124</v>
      </c>
      <c r="B10" s="2">
        <v>45968</v>
      </c>
      <c r="C10" t="s">
        <v>10</v>
      </c>
      <c r="D10" t="s">
        <v>29</v>
      </c>
      <c r="E10" t="s">
        <v>12</v>
      </c>
      <c r="F10" t="s">
        <v>17</v>
      </c>
      <c r="G10">
        <v>4</v>
      </c>
      <c r="H10" s="3">
        <v>238.99</v>
      </c>
      <c r="I10" s="3">
        <v>955.96</v>
      </c>
    </row>
    <row r="11" spans="1:10" x14ac:dyDescent="0.3">
      <c r="A11" t="s">
        <v>132</v>
      </c>
      <c r="B11" s="2">
        <v>46014</v>
      </c>
      <c r="C11" t="s">
        <v>10</v>
      </c>
      <c r="D11" t="s">
        <v>11</v>
      </c>
      <c r="E11" t="s">
        <v>12</v>
      </c>
      <c r="F11" t="s">
        <v>17</v>
      </c>
      <c r="G11">
        <v>4</v>
      </c>
      <c r="H11" s="3">
        <v>254.99</v>
      </c>
      <c r="I11" s="3">
        <v>1019.96</v>
      </c>
    </row>
    <row r="12" spans="1:10" x14ac:dyDescent="0.3">
      <c r="A12" t="s">
        <v>39</v>
      </c>
      <c r="B12" s="2">
        <v>45690</v>
      </c>
      <c r="C12" t="s">
        <v>10</v>
      </c>
      <c r="D12" t="s">
        <v>29</v>
      </c>
      <c r="E12" t="s">
        <v>12</v>
      </c>
      <c r="F12" t="s">
        <v>13</v>
      </c>
      <c r="G12">
        <v>5</v>
      </c>
      <c r="H12" s="3">
        <v>474.99</v>
      </c>
      <c r="I12" s="3">
        <v>2374.9499999999998</v>
      </c>
    </row>
    <row r="13" spans="1:10" x14ac:dyDescent="0.3">
      <c r="A13" t="s">
        <v>9</v>
      </c>
      <c r="B13" s="2">
        <v>45658</v>
      </c>
      <c r="C13" t="s">
        <v>10</v>
      </c>
      <c r="D13" t="s">
        <v>11</v>
      </c>
      <c r="E13" t="s">
        <v>12</v>
      </c>
      <c r="F13" t="s">
        <v>13</v>
      </c>
      <c r="G13">
        <v>4</v>
      </c>
      <c r="H13" s="3">
        <v>365</v>
      </c>
      <c r="I13" s="3">
        <v>1460</v>
      </c>
    </row>
    <row r="14" spans="1:10" x14ac:dyDescent="0.3">
      <c r="A14" t="s">
        <v>57</v>
      </c>
      <c r="B14" s="2">
        <v>45737</v>
      </c>
      <c r="C14" t="s">
        <v>26</v>
      </c>
      <c r="D14" t="s">
        <v>58</v>
      </c>
      <c r="E14" t="s">
        <v>12</v>
      </c>
      <c r="F14" t="s">
        <v>13</v>
      </c>
      <c r="G14">
        <v>5</v>
      </c>
      <c r="H14" s="3">
        <v>390.99</v>
      </c>
      <c r="I14" s="3">
        <v>1954.95</v>
      </c>
    </row>
    <row r="15" spans="1:10" x14ac:dyDescent="0.3">
      <c r="A15" t="s">
        <v>88</v>
      </c>
      <c r="B15" s="2">
        <v>45854</v>
      </c>
      <c r="C15" t="s">
        <v>15</v>
      </c>
      <c r="D15" t="s">
        <v>19</v>
      </c>
      <c r="E15" t="s">
        <v>12</v>
      </c>
      <c r="F15" t="s">
        <v>13</v>
      </c>
      <c r="G15">
        <v>2</v>
      </c>
      <c r="H15" s="3">
        <v>335</v>
      </c>
      <c r="I15" s="3">
        <v>670</v>
      </c>
    </row>
    <row r="16" spans="1:10" x14ac:dyDescent="0.3">
      <c r="A16" t="s">
        <v>91</v>
      </c>
      <c r="B16" s="2">
        <v>45864</v>
      </c>
      <c r="C16" t="s">
        <v>23</v>
      </c>
      <c r="D16" t="s">
        <v>24</v>
      </c>
      <c r="E16" t="s">
        <v>12</v>
      </c>
      <c r="F16" t="s">
        <v>13</v>
      </c>
      <c r="G16">
        <v>1</v>
      </c>
      <c r="H16" s="3">
        <v>472</v>
      </c>
      <c r="I16" s="3">
        <v>472</v>
      </c>
    </row>
    <row r="17" spans="1:9" x14ac:dyDescent="0.3">
      <c r="A17" t="s">
        <v>98</v>
      </c>
      <c r="B17" s="2">
        <v>45878</v>
      </c>
      <c r="C17" t="s">
        <v>15</v>
      </c>
      <c r="D17" t="s">
        <v>19</v>
      </c>
      <c r="E17" t="s">
        <v>12</v>
      </c>
      <c r="F17" t="s">
        <v>13</v>
      </c>
      <c r="G17">
        <v>2</v>
      </c>
      <c r="H17" s="3">
        <v>377.99</v>
      </c>
      <c r="I17" s="3">
        <v>755.98</v>
      </c>
    </row>
    <row r="18" spans="1:9" x14ac:dyDescent="0.3">
      <c r="A18" t="s">
        <v>117</v>
      </c>
      <c r="B18" s="2">
        <v>45930</v>
      </c>
      <c r="C18" t="s">
        <v>10</v>
      </c>
      <c r="D18" t="s">
        <v>29</v>
      </c>
      <c r="E18" t="s">
        <v>12</v>
      </c>
      <c r="F18" t="s">
        <v>13</v>
      </c>
      <c r="G18">
        <v>1</v>
      </c>
      <c r="H18" s="3">
        <v>321.99</v>
      </c>
      <c r="I18" s="3">
        <v>321.99</v>
      </c>
    </row>
    <row r="19" spans="1:9" x14ac:dyDescent="0.3">
      <c r="A19" t="s">
        <v>118</v>
      </c>
      <c r="B19" s="2">
        <v>45931</v>
      </c>
      <c r="C19" t="s">
        <v>15</v>
      </c>
      <c r="D19" t="s">
        <v>19</v>
      </c>
      <c r="E19" t="s">
        <v>12</v>
      </c>
      <c r="F19" t="s">
        <v>13</v>
      </c>
      <c r="G19">
        <v>5</v>
      </c>
      <c r="H19" s="3">
        <v>419</v>
      </c>
      <c r="I19" s="3">
        <v>2095</v>
      </c>
    </row>
    <row r="20" spans="1:9" x14ac:dyDescent="0.3">
      <c r="A20" t="s">
        <v>122</v>
      </c>
      <c r="B20" s="2">
        <v>45956</v>
      </c>
      <c r="C20" t="s">
        <v>10</v>
      </c>
      <c r="D20" t="s">
        <v>29</v>
      </c>
      <c r="E20" t="s">
        <v>12</v>
      </c>
      <c r="F20" t="s">
        <v>13</v>
      </c>
      <c r="G20">
        <v>3</v>
      </c>
      <c r="H20" s="3">
        <v>439</v>
      </c>
      <c r="I20" s="3">
        <v>1317</v>
      </c>
    </row>
    <row r="21" spans="1:9" x14ac:dyDescent="0.3">
      <c r="A21" t="s">
        <v>130</v>
      </c>
      <c r="B21" s="2">
        <v>45996</v>
      </c>
      <c r="C21" t="s">
        <v>15</v>
      </c>
      <c r="D21" t="s">
        <v>19</v>
      </c>
      <c r="E21" t="s">
        <v>12</v>
      </c>
      <c r="F21" t="s">
        <v>13</v>
      </c>
      <c r="G21">
        <v>1</v>
      </c>
      <c r="H21" s="3">
        <v>480</v>
      </c>
      <c r="I21" s="3">
        <v>480</v>
      </c>
    </row>
    <row r="22" spans="1:9" x14ac:dyDescent="0.3">
      <c r="A22" t="s">
        <v>25</v>
      </c>
      <c r="B22" s="2">
        <v>45670</v>
      </c>
      <c r="C22" t="s">
        <v>26</v>
      </c>
      <c r="D22" t="s">
        <v>27</v>
      </c>
      <c r="E22" t="s">
        <v>20</v>
      </c>
      <c r="F22" t="s">
        <v>21</v>
      </c>
      <c r="G22">
        <v>2</v>
      </c>
      <c r="H22" s="3">
        <v>80</v>
      </c>
      <c r="I22" s="3">
        <v>160</v>
      </c>
    </row>
    <row r="23" spans="1:9" x14ac:dyDescent="0.3">
      <c r="A23" t="s">
        <v>37</v>
      </c>
      <c r="B23" s="2">
        <v>45684</v>
      </c>
      <c r="C23" t="s">
        <v>10</v>
      </c>
      <c r="D23" t="s">
        <v>11</v>
      </c>
      <c r="E23" t="s">
        <v>20</v>
      </c>
      <c r="F23" t="s">
        <v>21</v>
      </c>
      <c r="G23">
        <v>2</v>
      </c>
      <c r="H23" s="3">
        <v>58.99</v>
      </c>
      <c r="I23" s="3">
        <v>117.98</v>
      </c>
    </row>
    <row r="24" spans="1:9" x14ac:dyDescent="0.3">
      <c r="A24" t="s">
        <v>18</v>
      </c>
      <c r="B24" s="2">
        <v>45663</v>
      </c>
      <c r="C24" t="s">
        <v>15</v>
      </c>
      <c r="D24" t="s">
        <v>19</v>
      </c>
      <c r="E24" t="s">
        <v>20</v>
      </c>
      <c r="F24" t="s">
        <v>21</v>
      </c>
      <c r="G24">
        <v>5</v>
      </c>
      <c r="H24" s="3">
        <v>68.989999999999995</v>
      </c>
      <c r="I24" s="3">
        <v>344.95</v>
      </c>
    </row>
    <row r="25" spans="1:9" x14ac:dyDescent="0.3">
      <c r="A25" t="s">
        <v>81</v>
      </c>
      <c r="B25" s="2">
        <v>45797</v>
      </c>
      <c r="C25" t="s">
        <v>23</v>
      </c>
      <c r="D25" t="s">
        <v>42</v>
      </c>
      <c r="E25" t="s">
        <v>20</v>
      </c>
      <c r="F25" t="s">
        <v>21</v>
      </c>
      <c r="G25">
        <v>2</v>
      </c>
      <c r="H25" s="3">
        <v>34.99</v>
      </c>
      <c r="I25" s="3">
        <v>69.98</v>
      </c>
    </row>
    <row r="26" spans="1:9" x14ac:dyDescent="0.3">
      <c r="A26" t="s">
        <v>94</v>
      </c>
      <c r="B26" s="2">
        <v>45873</v>
      </c>
      <c r="C26" t="s">
        <v>26</v>
      </c>
      <c r="D26" t="s">
        <v>27</v>
      </c>
      <c r="E26" t="s">
        <v>20</v>
      </c>
      <c r="F26" t="s">
        <v>21</v>
      </c>
      <c r="G26">
        <v>3</v>
      </c>
      <c r="H26" s="3">
        <v>78.989999999999995</v>
      </c>
      <c r="I26" s="3">
        <v>236.97</v>
      </c>
    </row>
    <row r="27" spans="1:9" x14ac:dyDescent="0.3">
      <c r="A27" t="s">
        <v>99</v>
      </c>
      <c r="B27" s="2">
        <v>45880</v>
      </c>
      <c r="C27" t="s">
        <v>23</v>
      </c>
      <c r="D27" t="s">
        <v>42</v>
      </c>
      <c r="E27" t="s">
        <v>20</v>
      </c>
      <c r="F27" t="s">
        <v>21</v>
      </c>
      <c r="G27">
        <v>2</v>
      </c>
      <c r="H27" s="3">
        <v>70.989999999999995</v>
      </c>
      <c r="I27" s="3">
        <v>141.97999999999999</v>
      </c>
    </row>
    <row r="28" spans="1:9" x14ac:dyDescent="0.3">
      <c r="A28" t="s">
        <v>108</v>
      </c>
      <c r="B28" s="2">
        <v>45900</v>
      </c>
      <c r="C28" t="s">
        <v>15</v>
      </c>
      <c r="D28" t="s">
        <v>19</v>
      </c>
      <c r="E28" t="s">
        <v>20</v>
      </c>
      <c r="F28" t="s">
        <v>21</v>
      </c>
      <c r="G28">
        <v>5</v>
      </c>
      <c r="H28" s="3">
        <v>73</v>
      </c>
      <c r="I28" s="3">
        <v>365</v>
      </c>
    </row>
    <row r="29" spans="1:9" x14ac:dyDescent="0.3">
      <c r="A29" t="s">
        <v>113</v>
      </c>
      <c r="B29" s="2">
        <v>45924</v>
      </c>
      <c r="C29" t="s">
        <v>26</v>
      </c>
      <c r="D29" t="s">
        <v>27</v>
      </c>
      <c r="E29" t="s">
        <v>20</v>
      </c>
      <c r="F29" t="s">
        <v>21</v>
      </c>
      <c r="G29">
        <v>3</v>
      </c>
      <c r="H29" s="3">
        <v>78</v>
      </c>
      <c r="I29" s="3">
        <v>234</v>
      </c>
    </row>
    <row r="30" spans="1:9" x14ac:dyDescent="0.3">
      <c r="A30" t="s">
        <v>119</v>
      </c>
      <c r="B30" s="2">
        <v>45933</v>
      </c>
      <c r="C30" t="s">
        <v>23</v>
      </c>
      <c r="D30" t="s">
        <v>42</v>
      </c>
      <c r="E30" t="s">
        <v>20</v>
      </c>
      <c r="F30" t="s">
        <v>21</v>
      </c>
      <c r="G30">
        <v>4</v>
      </c>
      <c r="H30" s="3">
        <v>78.989999999999995</v>
      </c>
      <c r="I30" s="3">
        <v>315.95999999999998</v>
      </c>
    </row>
    <row r="31" spans="1:9" x14ac:dyDescent="0.3">
      <c r="A31" t="s">
        <v>125</v>
      </c>
      <c r="B31" s="2">
        <v>45969</v>
      </c>
      <c r="C31" t="s">
        <v>15</v>
      </c>
      <c r="D31" t="s">
        <v>16</v>
      </c>
      <c r="E31" t="s">
        <v>20</v>
      </c>
      <c r="F31" t="s">
        <v>21</v>
      </c>
      <c r="G31">
        <v>1</v>
      </c>
      <c r="H31" s="3">
        <v>43.99</v>
      </c>
      <c r="I31" s="3">
        <v>43.99</v>
      </c>
    </row>
    <row r="32" spans="1:9" x14ac:dyDescent="0.3">
      <c r="A32" t="s">
        <v>127</v>
      </c>
      <c r="B32" s="2">
        <v>45986</v>
      </c>
      <c r="C32" t="s">
        <v>26</v>
      </c>
      <c r="D32" t="s">
        <v>27</v>
      </c>
      <c r="E32" t="s">
        <v>20</v>
      </c>
      <c r="F32" t="s">
        <v>21</v>
      </c>
      <c r="G32">
        <v>3</v>
      </c>
      <c r="H32" s="3">
        <v>34.99</v>
      </c>
      <c r="I32" s="3">
        <v>104.97</v>
      </c>
    </row>
    <row r="33" spans="1:9" x14ac:dyDescent="0.3">
      <c r="A33" t="s">
        <v>36</v>
      </c>
      <c r="B33" s="2">
        <v>45684</v>
      </c>
      <c r="C33" t="s">
        <v>26</v>
      </c>
      <c r="D33" t="s">
        <v>27</v>
      </c>
      <c r="E33" t="s">
        <v>30</v>
      </c>
      <c r="F33" t="s">
        <v>31</v>
      </c>
      <c r="G33">
        <v>3</v>
      </c>
      <c r="H33" s="3">
        <v>82.99</v>
      </c>
      <c r="I33" s="3">
        <v>248.97</v>
      </c>
    </row>
    <row r="34" spans="1:9" x14ac:dyDescent="0.3">
      <c r="A34" t="s">
        <v>51</v>
      </c>
      <c r="B34" s="2">
        <v>45710</v>
      </c>
      <c r="C34" t="s">
        <v>15</v>
      </c>
      <c r="D34" t="s">
        <v>16</v>
      </c>
      <c r="E34" t="s">
        <v>30</v>
      </c>
      <c r="F34" t="s">
        <v>31</v>
      </c>
      <c r="G34">
        <v>4</v>
      </c>
      <c r="H34" s="3">
        <v>94</v>
      </c>
      <c r="I34" s="3">
        <v>376</v>
      </c>
    </row>
    <row r="35" spans="1:9" x14ac:dyDescent="0.3">
      <c r="A35" t="s">
        <v>28</v>
      </c>
      <c r="B35" s="2">
        <v>45679</v>
      </c>
      <c r="C35" t="s">
        <v>10</v>
      </c>
      <c r="D35" t="s">
        <v>29</v>
      </c>
      <c r="E35" t="s">
        <v>30</v>
      </c>
      <c r="F35" t="s">
        <v>31</v>
      </c>
      <c r="G35">
        <v>5</v>
      </c>
      <c r="H35" s="3">
        <v>93</v>
      </c>
      <c r="I35" s="3">
        <v>465</v>
      </c>
    </row>
    <row r="36" spans="1:9" x14ac:dyDescent="0.3">
      <c r="A36" t="s">
        <v>89</v>
      </c>
      <c r="B36" s="2">
        <v>45857</v>
      </c>
      <c r="C36" t="s">
        <v>26</v>
      </c>
      <c r="D36" t="s">
        <v>27</v>
      </c>
      <c r="E36" t="s">
        <v>30</v>
      </c>
      <c r="F36" t="s">
        <v>31</v>
      </c>
      <c r="G36">
        <v>1</v>
      </c>
      <c r="H36" s="3">
        <v>77.989999999999995</v>
      </c>
      <c r="I36" s="3">
        <v>77.989999999999995</v>
      </c>
    </row>
    <row r="37" spans="1:9" x14ac:dyDescent="0.3">
      <c r="A37" t="s">
        <v>116</v>
      </c>
      <c r="B37" s="2">
        <v>45929</v>
      </c>
      <c r="C37" t="s">
        <v>15</v>
      </c>
      <c r="D37" t="s">
        <v>16</v>
      </c>
      <c r="E37" t="s">
        <v>30</v>
      </c>
      <c r="F37" t="s">
        <v>31</v>
      </c>
      <c r="G37">
        <v>5</v>
      </c>
      <c r="H37" s="3">
        <v>98</v>
      </c>
      <c r="I37" s="3">
        <v>490</v>
      </c>
    </row>
    <row r="38" spans="1:9" x14ac:dyDescent="0.3">
      <c r="A38" t="s">
        <v>43</v>
      </c>
      <c r="B38" s="2">
        <v>45694</v>
      </c>
      <c r="C38" t="s">
        <v>15</v>
      </c>
      <c r="D38" t="s">
        <v>16</v>
      </c>
      <c r="E38" t="s">
        <v>12</v>
      </c>
      <c r="F38" t="s">
        <v>44</v>
      </c>
      <c r="G38">
        <v>1</v>
      </c>
      <c r="H38" s="3">
        <v>37</v>
      </c>
      <c r="I38" s="3">
        <v>37</v>
      </c>
    </row>
    <row r="39" spans="1:9" x14ac:dyDescent="0.3">
      <c r="A39" t="s">
        <v>45</v>
      </c>
      <c r="B39" s="2">
        <v>45695</v>
      </c>
      <c r="C39" t="s">
        <v>23</v>
      </c>
      <c r="D39" t="s">
        <v>42</v>
      </c>
      <c r="E39" t="s">
        <v>12</v>
      </c>
      <c r="F39" t="s">
        <v>44</v>
      </c>
      <c r="G39">
        <v>3</v>
      </c>
      <c r="H39" s="3">
        <v>39.99</v>
      </c>
      <c r="I39" s="3">
        <v>119.97</v>
      </c>
    </row>
    <row r="40" spans="1:9" x14ac:dyDescent="0.3">
      <c r="A40" t="s">
        <v>52</v>
      </c>
      <c r="B40" s="2">
        <v>45712</v>
      </c>
      <c r="C40" t="s">
        <v>23</v>
      </c>
      <c r="D40" t="s">
        <v>42</v>
      </c>
      <c r="E40" t="s">
        <v>12</v>
      </c>
      <c r="F40" t="s">
        <v>44</v>
      </c>
      <c r="G40">
        <v>5</v>
      </c>
      <c r="H40" s="3">
        <v>38</v>
      </c>
      <c r="I40" s="3">
        <v>190</v>
      </c>
    </row>
    <row r="41" spans="1:9" x14ac:dyDescent="0.3">
      <c r="A41" t="s">
        <v>65</v>
      </c>
      <c r="B41" s="2">
        <v>45759</v>
      </c>
      <c r="C41" t="s">
        <v>10</v>
      </c>
      <c r="D41" t="s">
        <v>11</v>
      </c>
      <c r="E41" t="s">
        <v>12</v>
      </c>
      <c r="F41" t="s">
        <v>44</v>
      </c>
      <c r="G41">
        <v>4</v>
      </c>
      <c r="H41" s="3">
        <v>59.99</v>
      </c>
      <c r="I41" s="3">
        <v>239.96</v>
      </c>
    </row>
    <row r="42" spans="1:9" x14ac:dyDescent="0.3">
      <c r="A42" t="s">
        <v>67</v>
      </c>
      <c r="B42" s="2">
        <v>45767</v>
      </c>
      <c r="C42" t="s">
        <v>10</v>
      </c>
      <c r="D42" t="s">
        <v>11</v>
      </c>
      <c r="E42" t="s">
        <v>12</v>
      </c>
      <c r="F42" t="s">
        <v>44</v>
      </c>
      <c r="G42">
        <v>5</v>
      </c>
      <c r="H42" s="3">
        <v>33</v>
      </c>
      <c r="I42" s="3">
        <v>165</v>
      </c>
    </row>
    <row r="43" spans="1:9" x14ac:dyDescent="0.3">
      <c r="A43" t="s">
        <v>80</v>
      </c>
      <c r="B43" s="2">
        <v>45796</v>
      </c>
      <c r="C43" t="s">
        <v>15</v>
      </c>
      <c r="D43" t="s">
        <v>19</v>
      </c>
      <c r="E43" t="s">
        <v>12</v>
      </c>
      <c r="F43" t="s">
        <v>44</v>
      </c>
      <c r="G43">
        <v>4</v>
      </c>
      <c r="H43" s="3">
        <v>40.99</v>
      </c>
      <c r="I43" s="3">
        <v>163.96</v>
      </c>
    </row>
    <row r="44" spans="1:9" x14ac:dyDescent="0.3">
      <c r="A44" t="s">
        <v>83</v>
      </c>
      <c r="B44" s="2">
        <v>45811</v>
      </c>
      <c r="C44" t="s">
        <v>23</v>
      </c>
      <c r="D44" t="s">
        <v>24</v>
      </c>
      <c r="E44" t="s">
        <v>12</v>
      </c>
      <c r="F44" t="s">
        <v>44</v>
      </c>
      <c r="G44">
        <v>5</v>
      </c>
      <c r="H44" s="3">
        <v>46</v>
      </c>
      <c r="I44" s="3">
        <v>230</v>
      </c>
    </row>
    <row r="45" spans="1:9" x14ac:dyDescent="0.3">
      <c r="A45" t="s">
        <v>90</v>
      </c>
      <c r="B45" s="2">
        <v>45862</v>
      </c>
      <c r="C45" t="s">
        <v>23</v>
      </c>
      <c r="D45" t="s">
        <v>42</v>
      </c>
      <c r="E45" t="s">
        <v>12</v>
      </c>
      <c r="F45" t="s">
        <v>44</v>
      </c>
      <c r="G45">
        <v>3</v>
      </c>
      <c r="H45" s="3">
        <v>52</v>
      </c>
      <c r="I45" s="3">
        <v>156</v>
      </c>
    </row>
    <row r="46" spans="1:9" x14ac:dyDescent="0.3">
      <c r="A46" t="s">
        <v>97</v>
      </c>
      <c r="B46" s="2">
        <v>45877</v>
      </c>
      <c r="C46" t="s">
        <v>26</v>
      </c>
      <c r="D46" t="s">
        <v>58</v>
      </c>
      <c r="E46" t="s">
        <v>12</v>
      </c>
      <c r="F46" t="s">
        <v>44</v>
      </c>
      <c r="G46">
        <v>5</v>
      </c>
      <c r="H46" s="3">
        <v>47.99</v>
      </c>
      <c r="I46" s="3">
        <v>239.95</v>
      </c>
    </row>
    <row r="47" spans="1:9" x14ac:dyDescent="0.3">
      <c r="A47" t="s">
        <v>100</v>
      </c>
      <c r="B47" s="2">
        <v>45881</v>
      </c>
      <c r="C47" t="s">
        <v>26</v>
      </c>
      <c r="D47" t="s">
        <v>27</v>
      </c>
      <c r="E47" t="s">
        <v>12</v>
      </c>
      <c r="F47" t="s">
        <v>44</v>
      </c>
      <c r="G47">
        <v>4</v>
      </c>
      <c r="H47" s="3">
        <v>54.99</v>
      </c>
      <c r="I47" s="3">
        <v>219.96</v>
      </c>
    </row>
    <row r="48" spans="1:9" x14ac:dyDescent="0.3">
      <c r="A48" t="s">
        <v>101</v>
      </c>
      <c r="B48" s="2">
        <v>45886</v>
      </c>
      <c r="C48" t="s">
        <v>15</v>
      </c>
      <c r="D48" t="s">
        <v>19</v>
      </c>
      <c r="E48" t="s">
        <v>12</v>
      </c>
      <c r="F48" t="s">
        <v>44</v>
      </c>
      <c r="G48">
        <v>5</v>
      </c>
      <c r="H48" s="3">
        <v>58.99</v>
      </c>
      <c r="I48" s="3">
        <v>294.95</v>
      </c>
    </row>
    <row r="49" spans="1:9" x14ac:dyDescent="0.3">
      <c r="A49" t="s">
        <v>102</v>
      </c>
      <c r="B49" s="2">
        <v>45887</v>
      </c>
      <c r="C49" t="s">
        <v>10</v>
      </c>
      <c r="D49" t="s">
        <v>29</v>
      </c>
      <c r="E49" t="s">
        <v>12</v>
      </c>
      <c r="F49" t="s">
        <v>44</v>
      </c>
      <c r="G49">
        <v>2</v>
      </c>
      <c r="H49" s="3">
        <v>52.99</v>
      </c>
      <c r="I49" s="3">
        <v>105.98</v>
      </c>
    </row>
    <row r="50" spans="1:9" x14ac:dyDescent="0.3">
      <c r="A50" t="s">
        <v>115</v>
      </c>
      <c r="B50" s="2">
        <v>45929</v>
      </c>
      <c r="C50" t="s">
        <v>26</v>
      </c>
      <c r="D50" t="s">
        <v>27</v>
      </c>
      <c r="E50" t="s">
        <v>12</v>
      </c>
      <c r="F50" t="s">
        <v>44</v>
      </c>
      <c r="G50">
        <v>5</v>
      </c>
      <c r="H50" s="3">
        <v>41.99</v>
      </c>
      <c r="I50" s="3">
        <v>209.95</v>
      </c>
    </row>
    <row r="51" spans="1:9" x14ac:dyDescent="0.3">
      <c r="A51" t="s">
        <v>128</v>
      </c>
      <c r="B51" s="2">
        <v>45987</v>
      </c>
      <c r="C51" t="s">
        <v>10</v>
      </c>
      <c r="D51" t="s">
        <v>11</v>
      </c>
      <c r="E51" t="s">
        <v>12</v>
      </c>
      <c r="F51" t="s">
        <v>44</v>
      </c>
      <c r="G51">
        <v>1</v>
      </c>
      <c r="H51" s="3">
        <v>51</v>
      </c>
      <c r="I51" s="3">
        <v>51</v>
      </c>
    </row>
    <row r="52" spans="1:9" x14ac:dyDescent="0.3">
      <c r="A52" t="s">
        <v>34</v>
      </c>
      <c r="B52" s="2">
        <v>45683</v>
      </c>
      <c r="C52" t="s">
        <v>15</v>
      </c>
      <c r="D52" t="s">
        <v>16</v>
      </c>
      <c r="E52" t="s">
        <v>30</v>
      </c>
      <c r="F52" t="s">
        <v>35</v>
      </c>
      <c r="G52">
        <v>1</v>
      </c>
      <c r="H52" s="3">
        <v>1182.99</v>
      </c>
      <c r="I52" s="3">
        <v>1182.99</v>
      </c>
    </row>
    <row r="53" spans="1:9" x14ac:dyDescent="0.3">
      <c r="A53" t="s">
        <v>53</v>
      </c>
      <c r="B53" s="2">
        <v>45713</v>
      </c>
      <c r="C53" t="s">
        <v>15</v>
      </c>
      <c r="D53" t="s">
        <v>19</v>
      </c>
      <c r="E53" t="s">
        <v>30</v>
      </c>
      <c r="F53" t="s">
        <v>35</v>
      </c>
      <c r="G53">
        <v>3</v>
      </c>
      <c r="H53" s="3">
        <v>1198</v>
      </c>
      <c r="I53" s="3">
        <v>3594</v>
      </c>
    </row>
    <row r="54" spans="1:9" x14ac:dyDescent="0.3">
      <c r="A54" t="s">
        <v>54</v>
      </c>
      <c r="B54" s="2">
        <v>45719</v>
      </c>
      <c r="C54" t="s">
        <v>15</v>
      </c>
      <c r="D54" t="s">
        <v>19</v>
      </c>
      <c r="E54" t="s">
        <v>30</v>
      </c>
      <c r="F54" t="s">
        <v>35</v>
      </c>
      <c r="G54">
        <v>3</v>
      </c>
      <c r="H54" s="3">
        <v>1169</v>
      </c>
      <c r="I54" s="3">
        <v>3507</v>
      </c>
    </row>
    <row r="55" spans="1:9" x14ac:dyDescent="0.3">
      <c r="A55" t="s">
        <v>40</v>
      </c>
      <c r="B55" s="2">
        <v>45691</v>
      </c>
      <c r="C55" t="s">
        <v>15</v>
      </c>
      <c r="D55" t="s">
        <v>16</v>
      </c>
      <c r="E55" t="s">
        <v>30</v>
      </c>
      <c r="F55" t="s">
        <v>35</v>
      </c>
      <c r="G55">
        <v>3</v>
      </c>
      <c r="H55" s="3">
        <v>961.99</v>
      </c>
      <c r="I55" s="3">
        <v>2885.97</v>
      </c>
    </row>
    <row r="56" spans="1:9" x14ac:dyDescent="0.3">
      <c r="A56" t="s">
        <v>41</v>
      </c>
      <c r="B56" s="2">
        <v>45692</v>
      </c>
      <c r="C56" t="s">
        <v>23</v>
      </c>
      <c r="D56" t="s">
        <v>42</v>
      </c>
      <c r="E56" t="s">
        <v>30</v>
      </c>
      <c r="F56" t="s">
        <v>35</v>
      </c>
      <c r="G56">
        <v>5</v>
      </c>
      <c r="H56" s="3">
        <v>895</v>
      </c>
      <c r="I56" s="3">
        <v>4475</v>
      </c>
    </row>
    <row r="57" spans="1:9" x14ac:dyDescent="0.3">
      <c r="A57" t="s">
        <v>70</v>
      </c>
      <c r="B57" s="2">
        <v>45770</v>
      </c>
      <c r="C57" t="s">
        <v>23</v>
      </c>
      <c r="D57" t="s">
        <v>42</v>
      </c>
      <c r="E57" t="s">
        <v>30</v>
      </c>
      <c r="F57" t="s">
        <v>35</v>
      </c>
      <c r="G57">
        <v>4</v>
      </c>
      <c r="H57" s="3">
        <v>1184</v>
      </c>
      <c r="I57" s="3">
        <v>4736</v>
      </c>
    </row>
    <row r="58" spans="1:9" x14ac:dyDescent="0.3">
      <c r="A58" t="s">
        <v>71</v>
      </c>
      <c r="B58" s="2">
        <v>45771</v>
      </c>
      <c r="C58" t="s">
        <v>26</v>
      </c>
      <c r="D58" t="s">
        <v>27</v>
      </c>
      <c r="E58" t="s">
        <v>30</v>
      </c>
      <c r="F58" t="s">
        <v>35</v>
      </c>
      <c r="G58">
        <v>4</v>
      </c>
      <c r="H58" s="3">
        <v>995</v>
      </c>
      <c r="I58" s="3">
        <v>3980</v>
      </c>
    </row>
    <row r="59" spans="1:9" x14ac:dyDescent="0.3">
      <c r="A59" t="s">
        <v>74</v>
      </c>
      <c r="B59" s="2">
        <v>45779</v>
      </c>
      <c r="C59" t="s">
        <v>10</v>
      </c>
      <c r="D59" t="s">
        <v>29</v>
      </c>
      <c r="E59" t="s">
        <v>30</v>
      </c>
      <c r="F59" t="s">
        <v>35</v>
      </c>
      <c r="G59">
        <v>5</v>
      </c>
      <c r="H59" s="3">
        <v>969</v>
      </c>
      <c r="I59" s="3">
        <v>4845</v>
      </c>
    </row>
    <row r="60" spans="1:9" x14ac:dyDescent="0.3">
      <c r="A60" t="s">
        <v>78</v>
      </c>
      <c r="B60" s="2">
        <v>45793</v>
      </c>
      <c r="C60" t="s">
        <v>23</v>
      </c>
      <c r="D60" t="s">
        <v>24</v>
      </c>
      <c r="E60" t="s">
        <v>30</v>
      </c>
      <c r="F60" t="s">
        <v>35</v>
      </c>
      <c r="G60">
        <v>5</v>
      </c>
      <c r="H60" s="3">
        <v>933</v>
      </c>
      <c r="I60" s="3">
        <v>4665</v>
      </c>
    </row>
    <row r="61" spans="1:9" x14ac:dyDescent="0.3">
      <c r="A61" t="s">
        <v>86</v>
      </c>
      <c r="B61" s="2">
        <v>45841</v>
      </c>
      <c r="C61" t="s">
        <v>26</v>
      </c>
      <c r="D61" t="s">
        <v>27</v>
      </c>
      <c r="E61" t="s">
        <v>30</v>
      </c>
      <c r="F61" t="s">
        <v>35</v>
      </c>
      <c r="G61">
        <v>1</v>
      </c>
      <c r="H61" s="3">
        <v>957.99</v>
      </c>
      <c r="I61" s="3">
        <v>957.99</v>
      </c>
    </row>
    <row r="62" spans="1:9" x14ac:dyDescent="0.3">
      <c r="A62" t="s">
        <v>95</v>
      </c>
      <c r="B62" s="2">
        <v>45874</v>
      </c>
      <c r="C62" t="s">
        <v>23</v>
      </c>
      <c r="D62" t="s">
        <v>42</v>
      </c>
      <c r="E62" t="s">
        <v>30</v>
      </c>
      <c r="F62" t="s">
        <v>35</v>
      </c>
      <c r="G62">
        <v>3</v>
      </c>
      <c r="H62" s="3">
        <v>1137.99</v>
      </c>
      <c r="I62" s="3">
        <v>3413.97</v>
      </c>
    </row>
    <row r="63" spans="1:9" x14ac:dyDescent="0.3">
      <c r="A63" t="s">
        <v>104</v>
      </c>
      <c r="B63" s="2">
        <v>45895</v>
      </c>
      <c r="C63" t="s">
        <v>15</v>
      </c>
      <c r="D63" t="s">
        <v>19</v>
      </c>
      <c r="E63" t="s">
        <v>30</v>
      </c>
      <c r="F63" t="s">
        <v>35</v>
      </c>
      <c r="G63">
        <v>2</v>
      </c>
      <c r="H63" s="3">
        <v>942.99</v>
      </c>
      <c r="I63" s="3">
        <v>1885.98</v>
      </c>
    </row>
    <row r="64" spans="1:9" x14ac:dyDescent="0.3">
      <c r="A64" t="s">
        <v>112</v>
      </c>
      <c r="B64" s="2">
        <v>45916</v>
      </c>
      <c r="C64" t="s">
        <v>10</v>
      </c>
      <c r="D64" t="s">
        <v>11</v>
      </c>
      <c r="E64" t="s">
        <v>30</v>
      </c>
      <c r="F64" t="s">
        <v>35</v>
      </c>
      <c r="G64">
        <v>2</v>
      </c>
      <c r="H64" s="3">
        <v>847</v>
      </c>
      <c r="I64" s="3">
        <v>1694</v>
      </c>
    </row>
    <row r="65" spans="1:9" x14ac:dyDescent="0.3">
      <c r="A65" t="s">
        <v>121</v>
      </c>
      <c r="B65" s="2">
        <v>45953</v>
      </c>
      <c r="C65" t="s">
        <v>15</v>
      </c>
      <c r="D65" t="s">
        <v>19</v>
      </c>
      <c r="E65" t="s">
        <v>30</v>
      </c>
      <c r="F65" t="s">
        <v>35</v>
      </c>
      <c r="G65">
        <v>1</v>
      </c>
      <c r="H65" s="3">
        <v>1005.99</v>
      </c>
      <c r="I65" s="3">
        <v>1005.99</v>
      </c>
    </row>
    <row r="66" spans="1:9" x14ac:dyDescent="0.3">
      <c r="A66" t="s">
        <v>131</v>
      </c>
      <c r="B66" s="2">
        <v>46012</v>
      </c>
      <c r="C66" t="s">
        <v>23</v>
      </c>
      <c r="D66" t="s">
        <v>24</v>
      </c>
      <c r="E66" t="s">
        <v>30</v>
      </c>
      <c r="F66" t="s">
        <v>35</v>
      </c>
      <c r="G66">
        <v>4</v>
      </c>
      <c r="H66" s="3">
        <v>950</v>
      </c>
      <c r="I66" s="3">
        <v>3800</v>
      </c>
    </row>
    <row r="67" spans="1:9" x14ac:dyDescent="0.3">
      <c r="A67" t="s">
        <v>32</v>
      </c>
      <c r="B67" s="2">
        <v>45682</v>
      </c>
      <c r="C67" t="s">
        <v>23</v>
      </c>
      <c r="D67" t="s">
        <v>24</v>
      </c>
      <c r="E67" t="s">
        <v>30</v>
      </c>
      <c r="F67" t="s">
        <v>33</v>
      </c>
      <c r="G67">
        <v>1</v>
      </c>
      <c r="H67" s="3">
        <v>330.99</v>
      </c>
      <c r="I67" s="3">
        <v>330.99</v>
      </c>
    </row>
    <row r="68" spans="1:9" x14ac:dyDescent="0.3">
      <c r="A68" t="s">
        <v>47</v>
      </c>
      <c r="B68" s="2">
        <v>45699</v>
      </c>
      <c r="C68" t="s">
        <v>26</v>
      </c>
      <c r="D68" t="s">
        <v>27</v>
      </c>
      <c r="E68" t="s">
        <v>30</v>
      </c>
      <c r="F68" t="s">
        <v>33</v>
      </c>
      <c r="G68">
        <v>5</v>
      </c>
      <c r="H68" s="3">
        <v>348</v>
      </c>
      <c r="I68" s="3">
        <v>1740</v>
      </c>
    </row>
    <row r="69" spans="1:9" x14ac:dyDescent="0.3">
      <c r="A69" t="s">
        <v>56</v>
      </c>
      <c r="B69" s="2">
        <v>45736</v>
      </c>
      <c r="C69" t="s">
        <v>10</v>
      </c>
      <c r="D69" t="s">
        <v>29</v>
      </c>
      <c r="E69" t="s">
        <v>30</v>
      </c>
      <c r="F69" t="s">
        <v>33</v>
      </c>
      <c r="G69">
        <v>5</v>
      </c>
      <c r="H69" s="3">
        <v>251</v>
      </c>
      <c r="I69" s="3">
        <v>1255</v>
      </c>
    </row>
    <row r="70" spans="1:9" x14ac:dyDescent="0.3">
      <c r="A70" t="s">
        <v>76</v>
      </c>
      <c r="B70" s="2">
        <v>45793</v>
      </c>
      <c r="C70" t="s">
        <v>26</v>
      </c>
      <c r="D70" t="s">
        <v>27</v>
      </c>
      <c r="E70" t="s">
        <v>30</v>
      </c>
      <c r="F70" t="s">
        <v>33</v>
      </c>
      <c r="G70">
        <v>4</v>
      </c>
      <c r="H70" s="3">
        <v>297</v>
      </c>
      <c r="I70" s="3">
        <v>1188</v>
      </c>
    </row>
    <row r="71" spans="1:9" x14ac:dyDescent="0.3">
      <c r="A71" t="s">
        <v>96</v>
      </c>
      <c r="B71" s="2">
        <v>45874</v>
      </c>
      <c r="C71" t="s">
        <v>15</v>
      </c>
      <c r="D71" t="s">
        <v>16</v>
      </c>
      <c r="E71" t="s">
        <v>30</v>
      </c>
      <c r="F71" t="s">
        <v>33</v>
      </c>
      <c r="G71">
        <v>2</v>
      </c>
      <c r="H71" s="3">
        <v>248.99</v>
      </c>
      <c r="I71" s="3">
        <v>497.98</v>
      </c>
    </row>
    <row r="72" spans="1:9" x14ac:dyDescent="0.3">
      <c r="A72" t="s">
        <v>103</v>
      </c>
      <c r="B72" s="2">
        <v>45890</v>
      </c>
      <c r="C72" t="s">
        <v>26</v>
      </c>
      <c r="D72" t="s">
        <v>27</v>
      </c>
      <c r="E72" t="s">
        <v>30</v>
      </c>
      <c r="F72" t="s">
        <v>33</v>
      </c>
      <c r="G72">
        <v>3</v>
      </c>
      <c r="H72" s="3">
        <v>225.99</v>
      </c>
      <c r="I72" s="3">
        <v>677.97</v>
      </c>
    </row>
    <row r="73" spans="1:9" x14ac:dyDescent="0.3">
      <c r="A73" t="s">
        <v>105</v>
      </c>
      <c r="B73" s="2">
        <v>45895</v>
      </c>
      <c r="C73" t="s">
        <v>26</v>
      </c>
      <c r="D73" t="s">
        <v>27</v>
      </c>
      <c r="E73" t="s">
        <v>30</v>
      </c>
      <c r="F73" t="s">
        <v>33</v>
      </c>
      <c r="G73">
        <v>2</v>
      </c>
      <c r="H73" s="3">
        <v>231.99</v>
      </c>
      <c r="I73" s="3">
        <v>463.98</v>
      </c>
    </row>
    <row r="74" spans="1:9" x14ac:dyDescent="0.3">
      <c r="A74" t="s">
        <v>107</v>
      </c>
      <c r="B74" s="2">
        <v>45900</v>
      </c>
      <c r="C74" t="s">
        <v>15</v>
      </c>
      <c r="D74" t="s">
        <v>19</v>
      </c>
      <c r="E74" t="s">
        <v>30</v>
      </c>
      <c r="F74" t="s">
        <v>33</v>
      </c>
      <c r="G74">
        <v>2</v>
      </c>
      <c r="H74" s="3">
        <v>385.99</v>
      </c>
      <c r="I74" s="3">
        <v>771.98</v>
      </c>
    </row>
    <row r="75" spans="1:9" x14ac:dyDescent="0.3">
      <c r="A75" t="s">
        <v>109</v>
      </c>
      <c r="B75" s="2">
        <v>45901</v>
      </c>
      <c r="C75" t="s">
        <v>15</v>
      </c>
      <c r="D75" t="s">
        <v>16</v>
      </c>
      <c r="E75" t="s">
        <v>30</v>
      </c>
      <c r="F75" t="s">
        <v>33</v>
      </c>
      <c r="G75">
        <v>2</v>
      </c>
      <c r="H75" s="3">
        <v>206</v>
      </c>
      <c r="I75" s="3">
        <v>412</v>
      </c>
    </row>
    <row r="76" spans="1:9" x14ac:dyDescent="0.3">
      <c r="A76" t="s">
        <v>110</v>
      </c>
      <c r="B76" s="2">
        <v>45904</v>
      </c>
      <c r="C76" t="s">
        <v>10</v>
      </c>
      <c r="D76" t="s">
        <v>29</v>
      </c>
      <c r="E76" t="s">
        <v>30</v>
      </c>
      <c r="F76" t="s">
        <v>33</v>
      </c>
      <c r="G76">
        <v>4</v>
      </c>
      <c r="H76" s="3">
        <v>242.99</v>
      </c>
      <c r="I76" s="3">
        <v>971.96</v>
      </c>
    </row>
    <row r="77" spans="1:9" x14ac:dyDescent="0.3">
      <c r="A77" t="s">
        <v>63</v>
      </c>
      <c r="B77" s="2">
        <v>45757</v>
      </c>
      <c r="C77" t="s">
        <v>26</v>
      </c>
      <c r="D77" t="s">
        <v>58</v>
      </c>
      <c r="E77" t="s">
        <v>30</v>
      </c>
      <c r="F77" t="s">
        <v>64</v>
      </c>
      <c r="G77">
        <v>1</v>
      </c>
      <c r="H77" s="3">
        <v>28.99</v>
      </c>
      <c r="I77" s="3">
        <v>28.99</v>
      </c>
    </row>
    <row r="78" spans="1:9" x14ac:dyDescent="0.3">
      <c r="A78" t="s">
        <v>66</v>
      </c>
      <c r="B78" s="2">
        <v>45766</v>
      </c>
      <c r="C78" t="s">
        <v>23</v>
      </c>
      <c r="D78" t="s">
        <v>24</v>
      </c>
      <c r="E78" t="s">
        <v>30</v>
      </c>
      <c r="F78" t="s">
        <v>64</v>
      </c>
      <c r="G78">
        <v>4</v>
      </c>
      <c r="H78" s="3">
        <v>30</v>
      </c>
      <c r="I78" s="3">
        <v>120</v>
      </c>
    </row>
    <row r="79" spans="1:9" x14ac:dyDescent="0.3">
      <c r="A79" t="s">
        <v>68</v>
      </c>
      <c r="B79" s="2">
        <v>45768</v>
      </c>
      <c r="C79" t="s">
        <v>15</v>
      </c>
      <c r="D79" t="s">
        <v>16</v>
      </c>
      <c r="E79" t="s">
        <v>30</v>
      </c>
      <c r="F79" t="s">
        <v>64</v>
      </c>
      <c r="G79">
        <v>2</v>
      </c>
      <c r="H79" s="3">
        <v>30.99</v>
      </c>
      <c r="I79" s="3">
        <v>61.98</v>
      </c>
    </row>
    <row r="80" spans="1:9" x14ac:dyDescent="0.3">
      <c r="A80" t="s">
        <v>69</v>
      </c>
      <c r="B80" s="2">
        <v>45770</v>
      </c>
      <c r="C80" t="s">
        <v>26</v>
      </c>
      <c r="D80" t="s">
        <v>58</v>
      </c>
      <c r="E80" t="s">
        <v>30</v>
      </c>
      <c r="F80" t="s">
        <v>64</v>
      </c>
      <c r="G80">
        <v>5</v>
      </c>
      <c r="H80" s="3">
        <v>32.99</v>
      </c>
      <c r="I80" s="3">
        <v>164.95</v>
      </c>
    </row>
    <row r="81" spans="1:9" x14ac:dyDescent="0.3">
      <c r="A81" t="s">
        <v>77</v>
      </c>
      <c r="B81" s="2">
        <v>45793</v>
      </c>
      <c r="C81" t="s">
        <v>26</v>
      </c>
      <c r="D81" t="s">
        <v>27</v>
      </c>
      <c r="E81" t="s">
        <v>30</v>
      </c>
      <c r="F81" t="s">
        <v>64</v>
      </c>
      <c r="G81">
        <v>2</v>
      </c>
      <c r="H81" s="3">
        <v>32.99</v>
      </c>
      <c r="I81" s="3">
        <v>65.98</v>
      </c>
    </row>
    <row r="82" spans="1:9" x14ac:dyDescent="0.3">
      <c r="A82" t="s">
        <v>87</v>
      </c>
      <c r="B82" s="2">
        <v>45852</v>
      </c>
      <c r="C82" t="s">
        <v>23</v>
      </c>
      <c r="D82" t="s">
        <v>42</v>
      </c>
      <c r="E82" t="s">
        <v>30</v>
      </c>
      <c r="F82" t="s">
        <v>64</v>
      </c>
      <c r="G82">
        <v>5</v>
      </c>
      <c r="H82" s="3">
        <v>32</v>
      </c>
      <c r="I82" s="3">
        <v>160</v>
      </c>
    </row>
    <row r="83" spans="1:9" x14ac:dyDescent="0.3">
      <c r="A83" t="s">
        <v>92</v>
      </c>
      <c r="B83" s="2">
        <v>45868</v>
      </c>
      <c r="C83" t="s">
        <v>26</v>
      </c>
      <c r="D83" t="s">
        <v>58</v>
      </c>
      <c r="E83" t="s">
        <v>30</v>
      </c>
      <c r="F83" t="s">
        <v>64</v>
      </c>
      <c r="G83">
        <v>3</v>
      </c>
      <c r="H83" s="3">
        <v>20</v>
      </c>
      <c r="I83" s="3">
        <v>60</v>
      </c>
    </row>
    <row r="84" spans="1:9" x14ac:dyDescent="0.3">
      <c r="A84" t="s">
        <v>106</v>
      </c>
      <c r="B84" s="2">
        <v>45896</v>
      </c>
      <c r="C84" t="s">
        <v>26</v>
      </c>
      <c r="D84" t="s">
        <v>58</v>
      </c>
      <c r="E84" t="s">
        <v>30</v>
      </c>
      <c r="F84" t="s">
        <v>64</v>
      </c>
      <c r="G84">
        <v>5</v>
      </c>
      <c r="H84" s="3">
        <v>33.99</v>
      </c>
      <c r="I84" s="3">
        <v>169.95</v>
      </c>
    </row>
    <row r="85" spans="1:9" x14ac:dyDescent="0.3">
      <c r="A85" t="s">
        <v>120</v>
      </c>
      <c r="B85" s="2">
        <v>45949</v>
      </c>
      <c r="C85" t="s">
        <v>15</v>
      </c>
      <c r="D85" t="s">
        <v>16</v>
      </c>
      <c r="E85" t="s">
        <v>30</v>
      </c>
      <c r="F85" t="s">
        <v>64</v>
      </c>
      <c r="G85">
        <v>5</v>
      </c>
      <c r="H85" s="3">
        <v>32</v>
      </c>
      <c r="I85" s="3">
        <v>160</v>
      </c>
    </row>
    <row r="86" spans="1:9" x14ac:dyDescent="0.3">
      <c r="A86" t="s">
        <v>123</v>
      </c>
      <c r="B86" s="2">
        <v>45967</v>
      </c>
      <c r="C86" t="s">
        <v>15</v>
      </c>
      <c r="D86" t="s">
        <v>16</v>
      </c>
      <c r="E86" t="s">
        <v>30</v>
      </c>
      <c r="F86" t="s">
        <v>64</v>
      </c>
      <c r="G86">
        <v>3</v>
      </c>
      <c r="H86" s="3">
        <v>23.99</v>
      </c>
      <c r="I86" s="3">
        <v>71.97</v>
      </c>
    </row>
    <row r="87" spans="1:9" x14ac:dyDescent="0.3">
      <c r="A87" t="s">
        <v>129</v>
      </c>
      <c r="B87" s="2">
        <v>45988</v>
      </c>
      <c r="C87" t="s">
        <v>26</v>
      </c>
      <c r="D87" t="s">
        <v>58</v>
      </c>
      <c r="E87" t="s">
        <v>30</v>
      </c>
      <c r="F87" t="s">
        <v>64</v>
      </c>
      <c r="G87">
        <v>4</v>
      </c>
      <c r="H87" s="3">
        <v>35</v>
      </c>
      <c r="I87" s="3">
        <v>140</v>
      </c>
    </row>
    <row r="88" spans="1:9" x14ac:dyDescent="0.3">
      <c r="A88" t="s">
        <v>59</v>
      </c>
      <c r="B88" s="2">
        <v>45738</v>
      </c>
      <c r="C88" t="s">
        <v>15</v>
      </c>
      <c r="D88" t="s">
        <v>16</v>
      </c>
      <c r="E88" t="s">
        <v>20</v>
      </c>
      <c r="F88" t="s">
        <v>49</v>
      </c>
      <c r="G88">
        <v>3</v>
      </c>
      <c r="H88" s="3">
        <v>11.99</v>
      </c>
      <c r="I88" s="3">
        <v>35.97</v>
      </c>
    </row>
    <row r="89" spans="1:9" x14ac:dyDescent="0.3">
      <c r="A89" t="s">
        <v>55</v>
      </c>
      <c r="B89" s="2">
        <v>45722</v>
      </c>
      <c r="C89" t="s">
        <v>15</v>
      </c>
      <c r="D89" t="s">
        <v>16</v>
      </c>
      <c r="E89" t="s">
        <v>20</v>
      </c>
      <c r="F89" t="s">
        <v>49</v>
      </c>
      <c r="G89">
        <v>5</v>
      </c>
      <c r="H89" s="3">
        <v>12</v>
      </c>
      <c r="I89" s="3">
        <v>60</v>
      </c>
    </row>
    <row r="90" spans="1:9" x14ac:dyDescent="0.3">
      <c r="A90" t="s">
        <v>48</v>
      </c>
      <c r="B90" s="2">
        <v>45708</v>
      </c>
      <c r="C90" t="s">
        <v>26</v>
      </c>
      <c r="D90" t="s">
        <v>27</v>
      </c>
      <c r="E90" t="s">
        <v>20</v>
      </c>
      <c r="F90" t="s">
        <v>49</v>
      </c>
      <c r="G90">
        <v>5</v>
      </c>
      <c r="H90" s="3">
        <v>10.99</v>
      </c>
      <c r="I90" s="3">
        <v>54.95</v>
      </c>
    </row>
    <row r="91" spans="1:9" x14ac:dyDescent="0.3">
      <c r="A91" t="s">
        <v>72</v>
      </c>
      <c r="B91" s="2">
        <v>45772</v>
      </c>
      <c r="C91" t="s">
        <v>15</v>
      </c>
      <c r="D91" t="s">
        <v>16</v>
      </c>
      <c r="E91" t="s">
        <v>20</v>
      </c>
      <c r="F91" t="s">
        <v>49</v>
      </c>
      <c r="G91">
        <v>3</v>
      </c>
      <c r="H91" s="3">
        <v>15</v>
      </c>
      <c r="I91" s="3">
        <v>45</v>
      </c>
    </row>
    <row r="92" spans="1:9" x14ac:dyDescent="0.3">
      <c r="A92" t="s">
        <v>75</v>
      </c>
      <c r="B92" s="2">
        <v>45780</v>
      </c>
      <c r="C92" t="s">
        <v>10</v>
      </c>
      <c r="D92" t="s">
        <v>11</v>
      </c>
      <c r="E92" t="s">
        <v>20</v>
      </c>
      <c r="F92" t="s">
        <v>49</v>
      </c>
      <c r="G92">
        <v>3</v>
      </c>
      <c r="H92" s="3">
        <v>10.99</v>
      </c>
      <c r="I92" s="3">
        <v>32.97</v>
      </c>
    </row>
    <row r="93" spans="1:9" x14ac:dyDescent="0.3">
      <c r="A93" t="s">
        <v>79</v>
      </c>
      <c r="B93" s="2">
        <v>45793</v>
      </c>
      <c r="C93" t="s">
        <v>23</v>
      </c>
      <c r="D93" t="s">
        <v>24</v>
      </c>
      <c r="E93" t="s">
        <v>20</v>
      </c>
      <c r="F93" t="s">
        <v>49</v>
      </c>
      <c r="G93">
        <v>2</v>
      </c>
      <c r="H93" s="3">
        <v>15.99</v>
      </c>
      <c r="I93" s="3">
        <v>31.98</v>
      </c>
    </row>
    <row r="94" spans="1:9" x14ac:dyDescent="0.3">
      <c r="A94" t="s">
        <v>82</v>
      </c>
      <c r="B94" s="2">
        <v>45802</v>
      </c>
      <c r="C94" t="s">
        <v>10</v>
      </c>
      <c r="D94" t="s">
        <v>29</v>
      </c>
      <c r="E94" t="s">
        <v>20</v>
      </c>
      <c r="F94" t="s">
        <v>49</v>
      </c>
      <c r="G94">
        <v>3</v>
      </c>
      <c r="H94" s="3">
        <v>10</v>
      </c>
      <c r="I94" s="3">
        <v>30</v>
      </c>
    </row>
    <row r="95" spans="1:9" x14ac:dyDescent="0.3">
      <c r="A95" t="s">
        <v>84</v>
      </c>
      <c r="B95" s="2">
        <v>45818</v>
      </c>
      <c r="C95" t="s">
        <v>26</v>
      </c>
      <c r="D95" t="s">
        <v>27</v>
      </c>
      <c r="E95" t="s">
        <v>20</v>
      </c>
      <c r="F95" t="s">
        <v>49</v>
      </c>
      <c r="G95">
        <v>5</v>
      </c>
      <c r="H95" s="3">
        <v>15.99</v>
      </c>
      <c r="I95" s="3">
        <v>79.95</v>
      </c>
    </row>
    <row r="96" spans="1:9" x14ac:dyDescent="0.3">
      <c r="A96" t="s">
        <v>85</v>
      </c>
      <c r="B96" s="2">
        <v>45825</v>
      </c>
      <c r="C96" t="s">
        <v>23</v>
      </c>
      <c r="D96" t="s">
        <v>42</v>
      </c>
      <c r="E96" t="s">
        <v>20</v>
      </c>
      <c r="F96" t="s">
        <v>49</v>
      </c>
      <c r="G96">
        <v>4</v>
      </c>
      <c r="H96" s="3">
        <v>10.99</v>
      </c>
      <c r="I96" s="3">
        <v>43.96</v>
      </c>
    </row>
    <row r="97" spans="1:9" x14ac:dyDescent="0.3">
      <c r="A97" t="s">
        <v>126</v>
      </c>
      <c r="B97" s="2">
        <v>45984</v>
      </c>
      <c r="C97" t="s">
        <v>10</v>
      </c>
      <c r="D97" t="s">
        <v>11</v>
      </c>
      <c r="E97" t="s">
        <v>20</v>
      </c>
      <c r="F97" t="s">
        <v>49</v>
      </c>
      <c r="G97">
        <v>2</v>
      </c>
      <c r="H97" s="3">
        <v>10.99</v>
      </c>
      <c r="I97" s="3">
        <v>21.98</v>
      </c>
    </row>
    <row r="98" spans="1:9" x14ac:dyDescent="0.3">
      <c r="A98" t="s">
        <v>61</v>
      </c>
      <c r="B98" s="2">
        <v>45755</v>
      </c>
      <c r="C98" t="s">
        <v>23</v>
      </c>
      <c r="D98" t="s">
        <v>24</v>
      </c>
      <c r="E98" t="s">
        <v>20</v>
      </c>
      <c r="F98" t="s">
        <v>62</v>
      </c>
      <c r="G98">
        <v>2</v>
      </c>
      <c r="H98" s="3">
        <v>96.99</v>
      </c>
      <c r="I98" s="3">
        <v>193.98</v>
      </c>
    </row>
    <row r="99" spans="1:9" x14ac:dyDescent="0.3">
      <c r="A99" t="s">
        <v>73</v>
      </c>
      <c r="B99" s="2">
        <v>45778</v>
      </c>
      <c r="C99" t="s">
        <v>26</v>
      </c>
      <c r="D99" t="s">
        <v>58</v>
      </c>
      <c r="E99" t="s">
        <v>20</v>
      </c>
      <c r="F99" t="s">
        <v>62</v>
      </c>
      <c r="G99">
        <v>1</v>
      </c>
      <c r="H99" s="3">
        <v>92.99</v>
      </c>
      <c r="I99" s="3">
        <v>92.99</v>
      </c>
    </row>
    <row r="100" spans="1:9" x14ac:dyDescent="0.3">
      <c r="A100" t="s">
        <v>111</v>
      </c>
      <c r="B100" s="2">
        <v>45911</v>
      </c>
      <c r="C100" t="s">
        <v>10</v>
      </c>
      <c r="D100" t="s">
        <v>11</v>
      </c>
      <c r="E100" t="s">
        <v>20</v>
      </c>
      <c r="F100" t="s">
        <v>62</v>
      </c>
      <c r="G100">
        <v>4</v>
      </c>
      <c r="H100" s="3">
        <v>86</v>
      </c>
      <c r="I100" s="3">
        <v>344</v>
      </c>
    </row>
    <row r="101" spans="1:9" x14ac:dyDescent="0.3">
      <c r="A101" t="s">
        <v>133</v>
      </c>
      <c r="B101" s="2">
        <v>46016</v>
      </c>
      <c r="C101" t="s">
        <v>26</v>
      </c>
      <c r="D101" t="s">
        <v>58</v>
      </c>
      <c r="E101" t="s">
        <v>20</v>
      </c>
      <c r="F101" t="s">
        <v>62</v>
      </c>
      <c r="G101">
        <v>4</v>
      </c>
      <c r="H101" s="3">
        <v>57</v>
      </c>
      <c r="I101" s="3">
        <v>228</v>
      </c>
    </row>
    <row r="102" spans="1:9" x14ac:dyDescent="0.3">
      <c r="I102" s="3"/>
    </row>
  </sheetData>
  <sortState xmlns:xlrd2="http://schemas.microsoft.com/office/spreadsheetml/2017/richdata2" ref="A2:J101">
    <sortCondition ref="F1:F10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38F35-1D14-4933-9C1E-131265FC8953}">
  <dimension ref="A1:B4"/>
  <sheetViews>
    <sheetView workbookViewId="0">
      <selection activeCell="B3" sqref="B3"/>
    </sheetView>
  </sheetViews>
  <sheetFormatPr defaultRowHeight="14.4" x14ac:dyDescent="0.3"/>
  <cols>
    <col min="1" max="1" width="17.5546875" bestFit="1" customWidth="1"/>
  </cols>
  <sheetData>
    <row r="1" spans="1:2" x14ac:dyDescent="0.3">
      <c r="A1" t="s">
        <v>134</v>
      </c>
      <c r="B1" s="4">
        <f>SUM(Data!$I$2:$I$101)</f>
        <v>84109.36</v>
      </c>
    </row>
    <row r="2" spans="1:2" x14ac:dyDescent="0.3">
      <c r="A2" t="s">
        <v>135</v>
      </c>
      <c r="B2">
        <f>COUNTA(Data!$A$2:$A$101)</f>
        <v>100</v>
      </c>
    </row>
    <row r="3" spans="1:2" x14ac:dyDescent="0.3">
      <c r="A3" t="s">
        <v>136</v>
      </c>
      <c r="B3" s="5">
        <f>B1/B2</f>
        <v>841.09360000000004</v>
      </c>
    </row>
    <row r="4" spans="1:2" x14ac:dyDescent="0.3">
      <c r="A4" t="s">
        <v>137</v>
      </c>
      <c r="B4">
        <f>SUM(Data!$G$2:$G$101)</f>
        <v>326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Sheet4</vt:lpstr>
      <vt:lpstr>Data</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Jaydeep Raval</dc:creator>
  <cp:lastModifiedBy>Jaydeep Raval</cp:lastModifiedBy>
  <dcterms:created xsi:type="dcterms:W3CDTF">2026-01-01T21:17:36Z</dcterms:created>
  <dcterms:modified xsi:type="dcterms:W3CDTF">2026-01-02T19:04:43Z</dcterms:modified>
</cp:coreProperties>
</file>